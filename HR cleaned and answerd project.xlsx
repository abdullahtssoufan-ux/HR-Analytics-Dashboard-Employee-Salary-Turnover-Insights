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96105248-3B60-465C-B5BF-490DF7B9B56B}" xr6:coauthVersionLast="47" xr6:coauthVersionMax="47" xr10:uidLastSave="{00000000-0000-0000-0000-000000000000}"/>
  <bookViews>
    <workbookView xWindow="-108" yWindow="-108" windowWidth="23256" windowHeight="13896" activeTab="2" xr2:uid="{66239873-0766-403B-88E8-666A7D684A20}"/>
  </bookViews>
  <sheets>
    <sheet name="Total employees" sheetId="3" r:id="rId1"/>
    <sheet name="Average salary" sheetId="4" r:id="rId2"/>
    <sheet name="Turnover by department" sheetId="5" r:id="rId3"/>
    <sheet name="Terminated by gender" sheetId="2" r:id="rId4"/>
  </sheets>
  <definedNames>
    <definedName name="_xlnm._FilterDatabase" localSheetId="1" hidden="1">'Average salary'!$A$1:$L$201</definedName>
    <definedName name="_xlnm._FilterDatabase" localSheetId="3" hidden="1">'Terminated by gender'!$A$1:$L$201</definedName>
    <definedName name="_xlnm._FilterDatabase" localSheetId="0" hidden="1">'Total employees'!$A$1:$L$201</definedName>
    <definedName name="_xlnm._FilterDatabase" localSheetId="2" hidden="1">'Turnover by department'!$A$1:$L$201</definedName>
  </definedNames>
  <calcPr calcId="19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8" i="5" l="1"/>
  <c r="D197" i="5"/>
  <c r="D191" i="5"/>
  <c r="D186" i="5"/>
  <c r="D184" i="5"/>
  <c r="D183" i="5"/>
  <c r="D180" i="5"/>
  <c r="D176" i="5"/>
  <c r="D175" i="5"/>
  <c r="D171" i="5"/>
  <c r="D169" i="5"/>
  <c r="D167" i="5"/>
  <c r="D166" i="5"/>
  <c r="D165" i="5"/>
  <c r="D164" i="5"/>
  <c r="D160" i="5"/>
  <c r="D154" i="5"/>
  <c r="D153" i="5"/>
  <c r="D149" i="5"/>
  <c r="D147" i="5"/>
  <c r="D144" i="5"/>
  <c r="D143" i="5"/>
  <c r="D131" i="5"/>
  <c r="D121" i="5"/>
  <c r="D120" i="5"/>
  <c r="D118" i="5"/>
  <c r="D117" i="5"/>
  <c r="D116" i="5"/>
  <c r="D112" i="5"/>
  <c r="D109" i="5"/>
  <c r="D108" i="5"/>
  <c r="D102" i="5"/>
  <c r="D98" i="5"/>
  <c r="D87" i="5"/>
  <c r="D84" i="5"/>
  <c r="D80" i="5"/>
  <c r="D77" i="5"/>
  <c r="D66" i="5"/>
  <c r="D65" i="5"/>
  <c r="D62" i="5"/>
  <c r="D60" i="5"/>
  <c r="D59" i="5"/>
  <c r="D48" i="5"/>
  <c r="D46" i="5"/>
  <c r="D45" i="5"/>
  <c r="D35" i="5"/>
  <c r="D32" i="5"/>
  <c r="D28" i="5"/>
  <c r="D25" i="5"/>
  <c r="D17" i="5"/>
  <c r="P6" i="5"/>
  <c r="D198" i="4"/>
  <c r="D197" i="4"/>
  <c r="D191" i="4"/>
  <c r="D186" i="4"/>
  <c r="D184" i="4"/>
  <c r="D183" i="4"/>
  <c r="D180" i="4"/>
  <c r="D176" i="4"/>
  <c r="D175" i="4"/>
  <c r="D171" i="4"/>
  <c r="D169" i="4"/>
  <c r="D167" i="4"/>
  <c r="D166" i="4"/>
  <c r="D165" i="4"/>
  <c r="D164" i="4"/>
  <c r="D160" i="4"/>
  <c r="D154" i="4"/>
  <c r="D153" i="4"/>
  <c r="D149" i="4"/>
  <c r="D147" i="4"/>
  <c r="D144" i="4"/>
  <c r="D143" i="4"/>
  <c r="D131" i="4"/>
  <c r="D121" i="4"/>
  <c r="D120" i="4"/>
  <c r="D118" i="4"/>
  <c r="D117" i="4"/>
  <c r="D116" i="4"/>
  <c r="D112" i="4"/>
  <c r="D109" i="4"/>
  <c r="D108" i="4"/>
  <c r="D102" i="4"/>
  <c r="D98" i="4"/>
  <c r="D87" i="4"/>
  <c r="D84" i="4"/>
  <c r="D80" i="4"/>
  <c r="D77" i="4"/>
  <c r="D66" i="4"/>
  <c r="D65" i="4"/>
  <c r="D62" i="4"/>
  <c r="D60" i="4"/>
  <c r="D59" i="4"/>
  <c r="D48" i="4"/>
  <c r="D46" i="4"/>
  <c r="D45" i="4"/>
  <c r="D35" i="4"/>
  <c r="D32" i="4"/>
  <c r="D28" i="4"/>
  <c r="D25" i="4"/>
  <c r="D17" i="4"/>
  <c r="P6" i="4"/>
  <c r="D198" i="3"/>
  <c r="D197" i="3"/>
  <c r="D191" i="3"/>
  <c r="D186" i="3"/>
  <c r="D184" i="3"/>
  <c r="D183" i="3"/>
  <c r="D180" i="3"/>
  <c r="D176" i="3"/>
  <c r="D175" i="3"/>
  <c r="D171" i="3"/>
  <c r="D169" i="3"/>
  <c r="D167" i="3"/>
  <c r="D166" i="3"/>
  <c r="D165" i="3"/>
  <c r="D164" i="3"/>
  <c r="D160" i="3"/>
  <c r="D154" i="3"/>
  <c r="D153" i="3"/>
  <c r="D149" i="3"/>
  <c r="D147" i="3"/>
  <c r="D144" i="3"/>
  <c r="D143" i="3"/>
  <c r="D131" i="3"/>
  <c r="D121" i="3"/>
  <c r="D120" i="3"/>
  <c r="D118" i="3"/>
  <c r="D117" i="3"/>
  <c r="D116" i="3"/>
  <c r="D112" i="3"/>
  <c r="D109" i="3"/>
  <c r="D108" i="3"/>
  <c r="D102" i="3"/>
  <c r="D98" i="3"/>
  <c r="D87" i="3"/>
  <c r="D84" i="3"/>
  <c r="D80" i="3"/>
  <c r="D77" i="3"/>
  <c r="D66" i="3"/>
  <c r="D65" i="3"/>
  <c r="D62" i="3"/>
  <c r="D60" i="3"/>
  <c r="D59" i="3"/>
  <c r="D48" i="3"/>
  <c r="D46" i="3"/>
  <c r="D45" i="3"/>
  <c r="D35" i="3"/>
  <c r="D32" i="3"/>
  <c r="D28" i="3"/>
  <c r="D25" i="3"/>
  <c r="D17" i="3"/>
  <c r="P6" i="3"/>
  <c r="P6" i="2"/>
  <c r="D48" i="2"/>
  <c r="D60" i="2"/>
  <c r="D98" i="2"/>
  <c r="D121" i="2"/>
  <c r="D84" i="2"/>
  <c r="D167" i="2"/>
  <c r="D17" i="2"/>
  <c r="D131" i="2"/>
  <c r="D191" i="2"/>
  <c r="D154" i="2"/>
  <c r="D183" i="2"/>
  <c r="D149" i="2"/>
  <c r="D46" i="2"/>
  <c r="D66" i="2"/>
  <c r="D80" i="2"/>
  <c r="D166" i="2"/>
  <c r="D184" i="2"/>
  <c r="D102" i="2"/>
  <c r="D175" i="2"/>
  <c r="D197" i="2"/>
  <c r="D32" i="2"/>
  <c r="D171" i="2"/>
  <c r="D143" i="2"/>
  <c r="D186" i="2"/>
  <c r="D35" i="2"/>
  <c r="D117" i="2"/>
  <c r="D45" i="2"/>
  <c r="D180" i="2"/>
  <c r="D164" i="2"/>
  <c r="D169" i="2"/>
  <c r="D160" i="2"/>
  <c r="D59" i="2"/>
  <c r="D176" i="2"/>
  <c r="D198" i="2"/>
  <c r="D144" i="2"/>
  <c r="D25" i="2"/>
  <c r="D112" i="2"/>
  <c r="D108" i="2"/>
  <c r="D165" i="2"/>
  <c r="D28" i="2"/>
  <c r="D120" i="2"/>
  <c r="D118" i="2"/>
  <c r="D62" i="2"/>
  <c r="D87" i="2"/>
  <c r="D116" i="2"/>
  <c r="D153" i="2"/>
  <c r="D109" i="2"/>
  <c r="D65" i="2"/>
  <c r="D147" i="2"/>
  <c r="D7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793878-7255-4E30-8B17-AA3AA572AC8B}" keepAlive="1" name="Query - HR Data" description="Connection to the 'HR Data' query in the workbook." type="5" refreshedVersion="0" background="1">
    <dbPr connection="Provider=Microsoft.Mashup.OleDb.1;Data Source=$Workbook$;Location=&quot;HR Data&quot;;Extended Properties=&quot;&quot;" command="SELECT * FROM [HR Data]"/>
  </connection>
</connections>
</file>

<file path=xl/sharedStrings.xml><?xml version="1.0" encoding="utf-8"?>
<sst xmlns="http://schemas.openxmlformats.org/spreadsheetml/2006/main" count="5339" uniqueCount="410">
  <si>
    <t>EmployeeID</t>
  </si>
  <si>
    <t>Department</t>
  </si>
  <si>
    <t>JobTitle</t>
  </si>
  <si>
    <t>Email</t>
  </si>
  <si>
    <t>Gender</t>
  </si>
  <si>
    <t>HireDate</t>
  </si>
  <si>
    <t>TerminationDate</t>
  </si>
  <si>
    <t>Salary</t>
  </si>
  <si>
    <t>ManagerID</t>
  </si>
  <si>
    <t>PerformanceRating</t>
  </si>
  <si>
    <t>Status</t>
  </si>
  <si>
    <t>Column12</t>
  </si>
  <si>
    <t>JOG-1001</t>
  </si>
  <si>
    <t>Research &amp; Development</t>
  </si>
  <si>
    <t>Research Lead</t>
  </si>
  <si>
    <t>employee.1001@jogate.com</t>
  </si>
  <si>
    <t>Male</t>
  </si>
  <si>
    <t>JOG-1198</t>
  </si>
  <si>
    <t>Active</t>
  </si>
  <si>
    <t>HR Analysis Project Questions and Answers</t>
  </si>
  <si>
    <t>JOG-1002</t>
  </si>
  <si>
    <t>Human Resources</t>
  </si>
  <si>
    <t>Hr Generalist</t>
  </si>
  <si>
    <t>employee.1002@jogate.com</t>
  </si>
  <si>
    <t>Female</t>
  </si>
  <si>
    <t>JOG-1068</t>
  </si>
  <si>
    <t>JOG-1003</t>
  </si>
  <si>
    <t>IT Support</t>
  </si>
  <si>
    <t>It Manager</t>
  </si>
  <si>
    <t>employee.1003@jogate.com</t>
  </si>
  <si>
    <t>JOG-1004</t>
  </si>
  <si>
    <t>Quality Control</t>
  </si>
  <si>
    <t>Qc Manager</t>
  </si>
  <si>
    <t>employees.1004@jogate.com</t>
  </si>
  <si>
    <t>Null</t>
  </si>
  <si>
    <t>Terminated</t>
  </si>
  <si>
    <t>JOG-1005</t>
  </si>
  <si>
    <t>JOG-1043</t>
  </si>
  <si>
    <t>What is the average salary?</t>
  </si>
  <si>
    <t>JOG-1006</t>
  </si>
  <si>
    <t>JOG-1007</t>
  </si>
  <si>
    <t>JOG-1008</t>
  </si>
  <si>
    <t>Sales</t>
  </si>
  <si>
    <t>Regional Sales Manager</t>
  </si>
  <si>
    <t>JOG-1009</t>
  </si>
  <si>
    <t>Production</t>
  </si>
  <si>
    <t>Line Supervisor</t>
  </si>
  <si>
    <t>employees.1009@jogate.com</t>
  </si>
  <si>
    <t>JOG-1074</t>
  </si>
  <si>
    <t>JOG-1010</t>
  </si>
  <si>
    <t>Logistics</t>
  </si>
  <si>
    <t>Warehouse Associate</t>
  </si>
  <si>
    <t>employees.1010@jogate.com</t>
  </si>
  <si>
    <t>JOG-1091</t>
  </si>
  <si>
    <t>JOG-1011</t>
  </si>
  <si>
    <t>employees.1011@jogate.com</t>
  </si>
  <si>
    <t>JOG-1019</t>
  </si>
  <si>
    <t>JOG-1012</t>
  </si>
  <si>
    <t>Production Worker</t>
  </si>
  <si>
    <t>JOG-1114</t>
  </si>
  <si>
    <t>JOG-1013</t>
  </si>
  <si>
    <t>Finance</t>
  </si>
  <si>
    <t>Accountant</t>
  </si>
  <si>
    <t>employees.1013@jogate.com</t>
  </si>
  <si>
    <t>JOG-1094</t>
  </si>
  <si>
    <t>JOG-1014</t>
  </si>
  <si>
    <t>Controller</t>
  </si>
  <si>
    <t>employees.1014@jogate.com</t>
  </si>
  <si>
    <t>JOG-1164</t>
  </si>
  <si>
    <t>JOG-1015</t>
  </si>
  <si>
    <t>Logistics Coordinator</t>
  </si>
  <si>
    <t>JOG-1182</t>
  </si>
  <si>
    <t>JOG-1016</t>
  </si>
  <si>
    <t>JOG-1017</t>
  </si>
  <si>
    <t>Qc Inspector</t>
  </si>
  <si>
    <t>JOG-1018</t>
  </si>
  <si>
    <t>JOG-1029</t>
  </si>
  <si>
    <t>JOG-1020</t>
  </si>
  <si>
    <t>Financial Analyst</t>
  </si>
  <si>
    <t>JOG-1064</t>
  </si>
  <si>
    <t>JOG-1021</t>
  </si>
  <si>
    <t>JOG-1095</t>
  </si>
  <si>
    <t>JOG-1022</t>
  </si>
  <si>
    <t>Sales Associate</t>
  </si>
  <si>
    <t>JOG-1140</t>
  </si>
  <si>
    <t>JOG-1023</t>
  </si>
  <si>
    <t>JOG-1024</t>
  </si>
  <si>
    <t>Help Desk Specialist</t>
  </si>
  <si>
    <t>JOG-1120</t>
  </si>
  <si>
    <t>JOG-1025</t>
  </si>
  <si>
    <t>It Technician</t>
  </si>
  <si>
    <t>JOG-1136</t>
  </si>
  <si>
    <t>JOG-1026</t>
  </si>
  <si>
    <t>JOG-1097</t>
  </si>
  <si>
    <t>JOG-1027</t>
  </si>
  <si>
    <t>JOG-1028</t>
  </si>
  <si>
    <t>JOG-1082</t>
  </si>
  <si>
    <t>Operations Manager</t>
  </si>
  <si>
    <t>JOG-1030</t>
  </si>
  <si>
    <t>Marketing</t>
  </si>
  <si>
    <t>Marketing Manager</t>
  </si>
  <si>
    <t>employees.1030@jogate.com</t>
  </si>
  <si>
    <t>JOG-1031</t>
  </si>
  <si>
    <t>employees.1031@jogate.com</t>
  </si>
  <si>
    <t>JOG-1144</t>
  </si>
  <si>
    <t>JOG-1032</t>
  </si>
  <si>
    <t>employees.1032@jogate.com</t>
  </si>
  <si>
    <t>JOG-1178</t>
  </si>
  <si>
    <t>JOG-1033</t>
  </si>
  <si>
    <t>employees.1033@jogate.com</t>
  </si>
  <si>
    <t>JOG-1107</t>
  </si>
  <si>
    <t>JOG-1034</t>
  </si>
  <si>
    <t>employees.1034@jogate.com</t>
  </si>
  <si>
    <t>JOG-1148</t>
  </si>
  <si>
    <t>JOG-1035</t>
  </si>
  <si>
    <t>JOG-1036</t>
  </si>
  <si>
    <t>JOG-1037</t>
  </si>
  <si>
    <t>JOG-1038</t>
  </si>
  <si>
    <t>JOG-1039</t>
  </si>
  <si>
    <t>employees.1039@jogate.com</t>
  </si>
  <si>
    <t>JOG-1088</t>
  </si>
  <si>
    <t>JOG-1040</t>
  </si>
  <si>
    <t>Account Manager</t>
  </si>
  <si>
    <t>employees.1040@jogate.com</t>
  </si>
  <si>
    <t>JOG-1041</t>
  </si>
  <si>
    <t>Marketing Coordinator</t>
  </si>
  <si>
    <t>employees.1041@jogate.com</t>
  </si>
  <si>
    <t>JOG-1042</t>
  </si>
  <si>
    <t>JOG-1099</t>
  </si>
  <si>
    <t>employees.1043@jogate.com</t>
  </si>
  <si>
    <t>JOG-1044</t>
  </si>
  <si>
    <t>employees.1044@jogate.com</t>
  </si>
  <si>
    <t>JOG-1045</t>
  </si>
  <si>
    <t>Hr Coordinator</t>
  </si>
  <si>
    <t>employees.1045@jogate.com</t>
  </si>
  <si>
    <t>JOG-1046</t>
  </si>
  <si>
    <t>employees.1046@jogate.com</t>
  </si>
  <si>
    <t>JOG-1047</t>
  </si>
  <si>
    <t>Digital Marketer</t>
  </si>
  <si>
    <t>employees.1047@jogate.com</t>
  </si>
  <si>
    <t>JOG-1174</t>
  </si>
  <si>
    <t>JOG-1048</t>
  </si>
  <si>
    <t>employees.1048@jogate.com</t>
  </si>
  <si>
    <t>JOG-1049</t>
  </si>
  <si>
    <t>employees.1049@jogate.com</t>
  </si>
  <si>
    <t>JOG-1192</t>
  </si>
  <si>
    <t>JOG-1050</t>
  </si>
  <si>
    <t>employees.1050@jogate.com</t>
  </si>
  <si>
    <t>JOG-1051</t>
  </si>
  <si>
    <t>employees.1051@jogate.com</t>
  </si>
  <si>
    <t>JOG-1187</t>
  </si>
  <si>
    <t>JOG-1052</t>
  </si>
  <si>
    <t>employees.1052@jogate.com</t>
  </si>
  <si>
    <t>JOG-1053</t>
  </si>
  <si>
    <t>Recruiter</t>
  </si>
  <si>
    <t>employees.1053@jogate.com</t>
  </si>
  <si>
    <t>JOG-1129</t>
  </si>
  <si>
    <t>JOG-1054</t>
  </si>
  <si>
    <t>JOG-1055</t>
  </si>
  <si>
    <t>JOG-1056</t>
  </si>
  <si>
    <t>Lab Technician</t>
  </si>
  <si>
    <t>JOG-1057</t>
  </si>
  <si>
    <t>JOG-1058</t>
  </si>
  <si>
    <t>JOG-1059</t>
  </si>
  <si>
    <t>JOG-1060</t>
  </si>
  <si>
    <t>JOG-1061</t>
  </si>
  <si>
    <t>employees.1061@jogate.com</t>
  </si>
  <si>
    <t>JOG-1062</t>
  </si>
  <si>
    <t>employees.1062@jogate.com</t>
  </si>
  <si>
    <t>JOG-1063</t>
  </si>
  <si>
    <t>employees.1063@jogate.com</t>
  </si>
  <si>
    <t>JOG-1173</t>
  </si>
  <si>
    <t>employees.1064@jogate.com</t>
  </si>
  <si>
    <t>JOG-1065</t>
  </si>
  <si>
    <t>employees.1065@jogate.com</t>
  </si>
  <si>
    <t>JOG-1066</t>
  </si>
  <si>
    <t>employees.1066@jogate.com</t>
  </si>
  <si>
    <t>JOG-1067</t>
  </si>
  <si>
    <t>employees.1067@jogate.com</t>
  </si>
  <si>
    <t>employees.1068@jogate.com</t>
  </si>
  <si>
    <t>JOG-1069</t>
  </si>
  <si>
    <t>employees.1069@jogate.com</t>
  </si>
  <si>
    <t>JOG-1070</t>
  </si>
  <si>
    <t>employees.1070@jogate.com</t>
  </si>
  <si>
    <t>JOG-1071</t>
  </si>
  <si>
    <t>employees.1071@jogate.com</t>
  </si>
  <si>
    <t>JOG-1072</t>
  </si>
  <si>
    <t>employees.1072@jogate.com</t>
  </si>
  <si>
    <t>JOG-1073</t>
  </si>
  <si>
    <t>employees.1073@jogate.com</t>
  </si>
  <si>
    <t>JOG-1075</t>
  </si>
  <si>
    <t>JOG-1076</t>
  </si>
  <si>
    <t>JOG-1077</t>
  </si>
  <si>
    <t>JOG-1078</t>
  </si>
  <si>
    <t>JOG-1079</t>
  </si>
  <si>
    <t>employees.1079@jogate.com</t>
  </si>
  <si>
    <t>JOG-1080</t>
  </si>
  <si>
    <t>employees.1080@jogate.com</t>
  </si>
  <si>
    <t>JOG-1081</t>
  </si>
  <si>
    <t>employees.1081@jogate.com</t>
  </si>
  <si>
    <t>employees.1082@jogate.com</t>
  </si>
  <si>
    <t>JOG-1083</t>
  </si>
  <si>
    <t>employees.1083@jogate.com</t>
  </si>
  <si>
    <t>JOG-1171</t>
  </si>
  <si>
    <t>JOG-1084</t>
  </si>
  <si>
    <t>employees.1084@jogate.com</t>
  </si>
  <si>
    <t>JOG-1085</t>
  </si>
  <si>
    <t>employees.1085@jogate.com</t>
  </si>
  <si>
    <t>JOG-1086</t>
  </si>
  <si>
    <t>employees.1086@jogate.com</t>
  </si>
  <si>
    <t>JOG-1165</t>
  </si>
  <si>
    <t>JOG-1087</t>
  </si>
  <si>
    <t>employees.1087@jogate.com</t>
  </si>
  <si>
    <t>employees.1088@jogate.com</t>
  </si>
  <si>
    <t>JOG-1089</t>
  </si>
  <si>
    <t>employees.1089@jogate.com</t>
  </si>
  <si>
    <t>JOG-1090</t>
  </si>
  <si>
    <t>employees.1090@jogate.com</t>
  </si>
  <si>
    <t>employees.1091@jogate.com</t>
  </si>
  <si>
    <t>JOG-1092</t>
  </si>
  <si>
    <t>employees.1092@jogate.com</t>
  </si>
  <si>
    <t>JOG-1093</t>
  </si>
  <si>
    <t>employees.1093@jogate.com</t>
  </si>
  <si>
    <t>employees.1094@jogate.com</t>
  </si>
  <si>
    <t>employees.1095@jogate.com</t>
  </si>
  <si>
    <t>JOG-1096</t>
  </si>
  <si>
    <t>employees.1096@jogate.com</t>
  </si>
  <si>
    <t>employees.1097@jogate.com</t>
  </si>
  <si>
    <t>JOG-1098</t>
  </si>
  <si>
    <t>employees.1098@jogate.com</t>
  </si>
  <si>
    <t>JOG-1108</t>
  </si>
  <si>
    <t>employees.1099@jogate.com</t>
  </si>
  <si>
    <t>JOG-1100</t>
  </si>
  <si>
    <t>employees.1100@jogate.com</t>
  </si>
  <si>
    <t>JOG-1101</t>
  </si>
  <si>
    <t>JOG-1102</t>
  </si>
  <si>
    <t>JOG-1103</t>
  </si>
  <si>
    <t>JOG-1104</t>
  </si>
  <si>
    <t>JOG-1105</t>
  </si>
  <si>
    <t>JOG-1106</t>
  </si>
  <si>
    <t>JOG-1109</t>
  </si>
  <si>
    <t>JOG-1135</t>
  </si>
  <si>
    <t>JOG-1110</t>
  </si>
  <si>
    <t>JOG-1111</t>
  </si>
  <si>
    <t>JOG-1112</t>
  </si>
  <si>
    <t>JOG-1113</t>
  </si>
  <si>
    <t>employees.1114@jogate.com</t>
  </si>
  <si>
    <t>JOG-1115</t>
  </si>
  <si>
    <t>employees.1115@jogate.com</t>
  </si>
  <si>
    <t>JOG-1176</t>
  </si>
  <si>
    <t>JOG-1116</t>
  </si>
  <si>
    <t>employees.1116@jogate.com</t>
  </si>
  <si>
    <t>JOG-1117</t>
  </si>
  <si>
    <t>employees.1117@jogate.com</t>
  </si>
  <si>
    <t>JOG-1118</t>
  </si>
  <si>
    <t>employees.1118@jogate.com</t>
  </si>
  <si>
    <t>JOG-1119</t>
  </si>
  <si>
    <t>employees.1119@jogate.com</t>
  </si>
  <si>
    <t>employees.1120@jogate.com</t>
  </si>
  <si>
    <t>JOG-1121</t>
  </si>
  <si>
    <t>employees.1121@jogate.com</t>
  </si>
  <si>
    <t>JOG-1122</t>
  </si>
  <si>
    <t>employees.1122@jogate.com</t>
  </si>
  <si>
    <t>JOG-1123</t>
  </si>
  <si>
    <t>Scientist</t>
  </si>
  <si>
    <t>employees.1123@jogate.com</t>
  </si>
  <si>
    <t>JOG-1124</t>
  </si>
  <si>
    <t>employees.1124@jogate.com</t>
  </si>
  <si>
    <t>JOG-1125</t>
  </si>
  <si>
    <t>employees.1125@jogate.com</t>
  </si>
  <si>
    <t>JOG-1126</t>
  </si>
  <si>
    <t>employees.1126@jogate.com</t>
  </si>
  <si>
    <t>JOG-1127</t>
  </si>
  <si>
    <t>employees.1127@jogate.com</t>
  </si>
  <si>
    <t>JOG-1128</t>
  </si>
  <si>
    <t>employees.1128@jogate.com</t>
  </si>
  <si>
    <t>employees.1129@jogate.com</t>
  </si>
  <si>
    <t>JOG-1130</t>
  </si>
  <si>
    <t>employees.1130@jogate.com</t>
  </si>
  <si>
    <t>JOG-1131</t>
  </si>
  <si>
    <t>employees.1131@jogate.com</t>
  </si>
  <si>
    <t>JOG-1132</t>
  </si>
  <si>
    <t>employees.1132@jogate.com</t>
  </si>
  <si>
    <t>JOG-1133</t>
  </si>
  <si>
    <t>employees.1133@jogate.com</t>
  </si>
  <si>
    <t>JOG-1134</t>
  </si>
  <si>
    <t>employees.1134@jogate.com</t>
  </si>
  <si>
    <t>employees.1135@jogate.com</t>
  </si>
  <si>
    <t>employees.1136@jogate.com</t>
  </si>
  <si>
    <t>JOG-1137</t>
  </si>
  <si>
    <t>employees.1137@jogate.com</t>
  </si>
  <si>
    <t>JOG-1138</t>
  </si>
  <si>
    <t>employees.1138@jogate.com</t>
  </si>
  <si>
    <t>JOG-1139</t>
  </si>
  <si>
    <t>employees.1139@jogate.com</t>
  </si>
  <si>
    <t>employees.1140@jogate.com</t>
  </si>
  <si>
    <t>JOG-1141</t>
  </si>
  <si>
    <t>employees.1141@jogate.com</t>
  </si>
  <si>
    <t>JOG-1142</t>
  </si>
  <si>
    <t>employees.1142@jogate.com</t>
  </si>
  <si>
    <t>JOG-1143</t>
  </si>
  <si>
    <t>employees.1143@jogate.com</t>
  </si>
  <si>
    <t>employees.1144@jogate.com</t>
  </si>
  <si>
    <t>JOG-1145</t>
  </si>
  <si>
    <t>employees.1145@jogate.com</t>
  </si>
  <si>
    <t>JOG-1146</t>
  </si>
  <si>
    <t>employees.1146@jogate.com</t>
  </si>
  <si>
    <t>JOG-1147</t>
  </si>
  <si>
    <t>employees.1147@jogate.com</t>
  </si>
  <si>
    <t>employees.1148@jogate.com</t>
  </si>
  <si>
    <t>JOG-1149</t>
  </si>
  <si>
    <t>employees.1149@jogate.com</t>
  </si>
  <si>
    <t>JOG-1150</t>
  </si>
  <si>
    <t>employees.1150@jogate.com</t>
  </si>
  <si>
    <t>JOG-1151</t>
  </si>
  <si>
    <t>employees.1151@jogate.com</t>
  </si>
  <si>
    <t>JOG-1152</t>
  </si>
  <si>
    <t>employees.1152@jogate.com</t>
  </si>
  <si>
    <t>JOG-1153</t>
  </si>
  <si>
    <t>employees.1153@jogate.com</t>
  </si>
  <si>
    <t>JOG-1154</t>
  </si>
  <si>
    <t>employees.1154@jogate.com</t>
  </si>
  <si>
    <t>JOG-1155</t>
  </si>
  <si>
    <t>employees.1155@jogate.com</t>
  </si>
  <si>
    <t>JOG-1156</t>
  </si>
  <si>
    <t>employees.1156@jogate.com</t>
  </si>
  <si>
    <t>JOG-1157</t>
  </si>
  <si>
    <t>employees.1157@jogate.com</t>
  </si>
  <si>
    <t>JOG-1158</t>
  </si>
  <si>
    <t>employees.1158@jogate.com</t>
  </si>
  <si>
    <t>JOG-1159</t>
  </si>
  <si>
    <t>employees.1159@jogate.com</t>
  </si>
  <si>
    <t>JOG-1160</t>
  </si>
  <si>
    <t>employees.1160@jogate.com</t>
  </si>
  <si>
    <t>JOG-1161</t>
  </si>
  <si>
    <t>employees.1161@jogate.com</t>
  </si>
  <si>
    <t>JOG-1162</t>
  </si>
  <si>
    <t>employees.1162@jogate.com</t>
  </si>
  <si>
    <t>JOG-1163</t>
  </si>
  <si>
    <t>employees.1163@jogate.com</t>
  </si>
  <si>
    <t>employees.1164@jogate.com</t>
  </si>
  <si>
    <t>employees.1165@jogate.com</t>
  </si>
  <si>
    <t>JOG-1166</t>
  </si>
  <si>
    <t>employees.1166@jogate.com</t>
  </si>
  <si>
    <t>JOG-1167</t>
  </si>
  <si>
    <t>employees.1167@jogate.com</t>
  </si>
  <si>
    <t>JOG-1168</t>
  </si>
  <si>
    <t>employees.1168@jogate.com</t>
  </si>
  <si>
    <t>JOG-1169</t>
  </si>
  <si>
    <t>employees.1169@jogate.com</t>
  </si>
  <si>
    <t>JOG-1170</t>
  </si>
  <si>
    <t>employees.1170@jogate.com</t>
  </si>
  <si>
    <t>employees.1171@jogate.com</t>
  </si>
  <si>
    <t>JOG-1172</t>
  </si>
  <si>
    <t>employees.1172@jogate.com</t>
  </si>
  <si>
    <t>employees.1173@jogate.com</t>
  </si>
  <si>
    <t>employees.1174@jogate.com</t>
  </si>
  <si>
    <t>JOG-1175</t>
  </si>
  <si>
    <t>employees.1175@jogate.com</t>
  </si>
  <si>
    <t>employees.1176@jogate.com</t>
  </si>
  <si>
    <t>JOG-1177</t>
  </si>
  <si>
    <t>employees.1177@jogate.com</t>
  </si>
  <si>
    <t>employees.1178@jogate.com</t>
  </si>
  <si>
    <t>JOG-1179</t>
  </si>
  <si>
    <t>employees.1179@jogate.com</t>
  </si>
  <si>
    <t>JOG-1180</t>
  </si>
  <si>
    <t>employees.1180@jogate.com</t>
  </si>
  <si>
    <t>JOG-1181</t>
  </si>
  <si>
    <t>employees.1181@jogate.com</t>
  </si>
  <si>
    <t>employees.1182@jogate.com</t>
  </si>
  <si>
    <t>JOG-1183</t>
  </si>
  <si>
    <t>employees.1183@jogate.com</t>
  </si>
  <si>
    <t>JOG-1184</t>
  </si>
  <si>
    <t>employees.1184@jogate.com</t>
  </si>
  <si>
    <t>JOG-1185</t>
  </si>
  <si>
    <t>employees.1185@jogate.com</t>
  </si>
  <si>
    <t>JOG-1186</t>
  </si>
  <si>
    <t>employees.1186@jogate.com</t>
  </si>
  <si>
    <t>employees.1187@jogate.com</t>
  </si>
  <si>
    <t>JOG-1188</t>
  </si>
  <si>
    <t>employees.1188@jogate.com</t>
  </si>
  <si>
    <t>JOG-1189</t>
  </si>
  <si>
    <t>employees.1189@jogate.com</t>
  </si>
  <si>
    <t>JOG-1190</t>
  </si>
  <si>
    <t>employees.1190@jogate.com</t>
  </si>
  <si>
    <t>JOG-1191</t>
  </si>
  <si>
    <t>employees.1191@jogate.com</t>
  </si>
  <si>
    <t>employees.1192@jogate.com</t>
  </si>
  <si>
    <t>JOG-1193</t>
  </si>
  <si>
    <t>employees.1193@jogate.com</t>
  </si>
  <si>
    <t>JOG-1194</t>
  </si>
  <si>
    <t>employees.1194@jogate.com</t>
  </si>
  <si>
    <t>JOG-1195</t>
  </si>
  <si>
    <t>employees.1195@jogate.com</t>
  </si>
  <si>
    <t>JOG-1196</t>
  </si>
  <si>
    <t>employees.1196@jogate.com</t>
  </si>
  <si>
    <t>JOG-1197</t>
  </si>
  <si>
    <t>employees.1197@jogate.com</t>
  </si>
  <si>
    <t>employees.1198@jogate.com</t>
  </si>
  <si>
    <t>JOG-1199</t>
  </si>
  <si>
    <t>employees.1199@jogate.com</t>
  </si>
  <si>
    <t>JOG-1200</t>
  </si>
  <si>
    <t>employees.1200@jogate.com</t>
  </si>
  <si>
    <t>The employees average salary is:</t>
  </si>
  <si>
    <t>Row Labels</t>
  </si>
  <si>
    <t>Grand Total</t>
  </si>
  <si>
    <t>(All)</t>
  </si>
  <si>
    <t>Column Labels</t>
  </si>
  <si>
    <t>Count of EmployeeID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</si>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</sst>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double">
        <color theme="9"/>
      </top>
      <bottom style="thin">
        <color theme="9" tint="0.39997558519241921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NumberFormat="1"/>
    <xf numFmtId="0" fontId="2" fillId="0" borderId="2" xfId="0" applyFont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3" borderId="3" xfId="0" applyNumberFormat="1" applyFont="1" applyFill="1" applyBorder="1"/>
    <xf numFmtId="0" fontId="0" fillId="3" borderId="4" xfId="0" applyNumberFormat="1" applyFont="1" applyFill="1" applyBorder="1"/>
    <xf numFmtId="14" fontId="0" fillId="3" borderId="4" xfId="0" applyNumberFormat="1" applyFont="1" applyFill="1" applyBorder="1"/>
    <xf numFmtId="0" fontId="0" fillId="3" borderId="4" xfId="0" applyFont="1" applyFill="1" applyBorder="1"/>
    <xf numFmtId="0" fontId="0" fillId="3" borderId="5" xfId="0" applyNumberFormat="1" applyFont="1" applyFill="1" applyBorder="1"/>
    <xf numFmtId="0" fontId="0" fillId="0" borderId="3" xfId="0" applyNumberFormat="1" applyFont="1" applyBorder="1"/>
    <xf numFmtId="0" fontId="0" fillId="0" borderId="4" xfId="0" applyNumberFormat="1" applyFont="1" applyBorder="1"/>
    <xf numFmtId="14" fontId="0" fillId="0" borderId="4" xfId="0" applyNumberFormat="1" applyFont="1" applyBorder="1"/>
    <xf numFmtId="0" fontId="0" fillId="0" borderId="4" xfId="0" applyFont="1" applyBorder="1"/>
    <xf numFmtId="0" fontId="0" fillId="0" borderId="5" xfId="0" applyNumberFormat="1" applyFont="1" applyBorder="1"/>
    <xf numFmtId="0" fontId="2" fillId="0" borderId="1" xfId="0" applyNumberFormat="1" applyFont="1" applyBorder="1"/>
    <xf numFmtId="0" fontId="2" fillId="0" borderId="2" xfId="0" applyNumberFormat="1" applyFont="1" applyBorder="1"/>
    <xf numFmtId="14" fontId="2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cleaned and answerd project.xlsx]Total employees!PivotTable3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employees</a:t>
            </a:r>
          </a:p>
        </c:rich>
      </c:tx>
      <c:layout>
        <c:manualLayout>
          <c:xMode val="edge"/>
          <c:yMode val="edge"/>
          <c:x val="0.41876219818419369"/>
          <c:y val="6.41742300676436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'Total employees'!$O$16:$O$17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employees'!$N$18:$N$27</c:f>
              <c:strCache>
                <c:ptCount val="9"/>
                <c:pt idx="0">
                  <c:v>Finance</c:v>
                </c:pt>
                <c:pt idx="1">
                  <c:v>Human Resources</c:v>
                </c:pt>
                <c:pt idx="2">
                  <c:v>IT Support</c:v>
                </c:pt>
                <c:pt idx="3">
                  <c:v>Logistics</c:v>
                </c:pt>
                <c:pt idx="4">
                  <c:v>Marketing</c:v>
                </c:pt>
                <c:pt idx="5">
                  <c:v>Production</c:v>
                </c:pt>
                <c:pt idx="6">
                  <c:v>Quality Control</c:v>
                </c:pt>
                <c:pt idx="7">
                  <c:v>Research &amp; Development</c:v>
                </c:pt>
                <c:pt idx="8">
                  <c:v>Sales</c:v>
                </c:pt>
              </c:strCache>
            </c:strRef>
          </c:cat>
          <c:val>
            <c:numRef>
              <c:f>'Total employees'!$O$18:$O$27</c:f>
              <c:numCache>
                <c:formatCode>General</c:formatCode>
                <c:ptCount val="9"/>
                <c:pt idx="0">
                  <c:v>3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  <c:pt idx="4">
                  <c:v>3</c:v>
                </c:pt>
                <c:pt idx="5">
                  <c:v>13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1C-4DAC-8154-85DC2E019320}"/>
            </c:ext>
          </c:extLst>
        </c:ser>
        <c:ser>
          <c:idx val="1"/>
          <c:order val="1"/>
          <c:tx>
            <c:strRef>
              <c:f>'Total employees'!$P$16:$P$17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employees'!$N$18:$N$27</c:f>
              <c:strCache>
                <c:ptCount val="9"/>
                <c:pt idx="0">
                  <c:v>Finance</c:v>
                </c:pt>
                <c:pt idx="1">
                  <c:v>Human Resources</c:v>
                </c:pt>
                <c:pt idx="2">
                  <c:v>IT Support</c:v>
                </c:pt>
                <c:pt idx="3">
                  <c:v>Logistics</c:v>
                </c:pt>
                <c:pt idx="4">
                  <c:v>Marketing</c:v>
                </c:pt>
                <c:pt idx="5">
                  <c:v>Production</c:v>
                </c:pt>
                <c:pt idx="6">
                  <c:v>Quality Control</c:v>
                </c:pt>
                <c:pt idx="7">
                  <c:v>Research &amp; Development</c:v>
                </c:pt>
                <c:pt idx="8">
                  <c:v>Sales</c:v>
                </c:pt>
              </c:strCache>
            </c:strRef>
          </c:cat>
          <c:val>
            <c:numRef>
              <c:f>'Total employees'!$P$18:$P$27</c:f>
              <c:numCache>
                <c:formatCode>General</c:formatCode>
                <c:ptCount val="9"/>
                <c:pt idx="0">
                  <c:v>6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9</c:v>
                </c:pt>
                <c:pt idx="7">
                  <c:v>4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1C-4DAC-8154-85DC2E019320}"/>
            </c:ext>
          </c:extLst>
        </c:ser>
        <c:ser>
          <c:idx val="2"/>
          <c:order val="2"/>
          <c:tx>
            <c:strRef>
              <c:f>'Total employees'!$Q$16:$Q$17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'Total employees'!$N$18:$N$27</c:f>
              <c:strCache>
                <c:ptCount val="9"/>
                <c:pt idx="0">
                  <c:v>Finance</c:v>
                </c:pt>
                <c:pt idx="1">
                  <c:v>Human Resources</c:v>
                </c:pt>
                <c:pt idx="2">
                  <c:v>IT Support</c:v>
                </c:pt>
                <c:pt idx="3">
                  <c:v>Logistics</c:v>
                </c:pt>
                <c:pt idx="4">
                  <c:v>Marketing</c:v>
                </c:pt>
                <c:pt idx="5">
                  <c:v>Production</c:v>
                </c:pt>
                <c:pt idx="6">
                  <c:v>Quality Control</c:v>
                </c:pt>
                <c:pt idx="7">
                  <c:v>Research &amp; Development</c:v>
                </c:pt>
                <c:pt idx="8">
                  <c:v>Sales</c:v>
                </c:pt>
              </c:strCache>
            </c:strRef>
          </c:cat>
          <c:val>
            <c:numRef>
              <c:f>'Total employees'!$Q$18:$Q$27</c:f>
              <c:numCache>
                <c:formatCode>General</c:formatCode>
                <c:ptCount val="9"/>
                <c:pt idx="0">
                  <c:v>14</c:v>
                </c:pt>
                <c:pt idx="1">
                  <c:v>10</c:v>
                </c:pt>
                <c:pt idx="2">
                  <c:v>4</c:v>
                </c:pt>
                <c:pt idx="3">
                  <c:v>6</c:v>
                </c:pt>
                <c:pt idx="4">
                  <c:v>7</c:v>
                </c:pt>
                <c:pt idx="5">
                  <c:v>6</c:v>
                </c:pt>
                <c:pt idx="6">
                  <c:v>12</c:v>
                </c:pt>
                <c:pt idx="7">
                  <c:v>6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1C-4DAC-8154-85DC2E019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7030335"/>
        <c:axId val="1497026975"/>
      </c:barChart>
      <c:catAx>
        <c:axId val="149703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26975"/>
        <c:crosses val="autoZero"/>
        <c:auto val="1"/>
        <c:lblAlgn val="ctr"/>
        <c:lblOffset val="100"/>
        <c:noMultiLvlLbl val="0"/>
      </c:catAx>
      <c:valAx>
        <c:axId val="149702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cleaned and answerd project.xlsx]Average salary!PivotTable3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Salary</a:t>
            </a:r>
            <a:endParaRPr lang="en-US"/>
          </a:p>
        </c:rich>
      </c:tx>
      <c:layout>
        <c:manualLayout>
          <c:xMode val="edge"/>
          <c:yMode val="edge"/>
          <c:x val="0.49004855643044631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salary'!$O$16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'Average salary'!$N$17:$N$26</c:f>
              <c:strCache>
                <c:ptCount val="9"/>
                <c:pt idx="0">
                  <c:v>Quality Control</c:v>
                </c:pt>
                <c:pt idx="1">
                  <c:v>Logistics</c:v>
                </c:pt>
                <c:pt idx="2">
                  <c:v>Finance</c:v>
                </c:pt>
                <c:pt idx="3">
                  <c:v>IT Support</c:v>
                </c:pt>
                <c:pt idx="4">
                  <c:v>Human Resources</c:v>
                </c:pt>
                <c:pt idx="5">
                  <c:v>Production</c:v>
                </c:pt>
                <c:pt idx="6">
                  <c:v>Sales</c:v>
                </c:pt>
                <c:pt idx="7">
                  <c:v>Marketing</c:v>
                </c:pt>
                <c:pt idx="8">
                  <c:v>Research &amp; Development</c:v>
                </c:pt>
              </c:strCache>
            </c:strRef>
          </c:cat>
          <c:val>
            <c:numRef>
              <c:f>'Average salary'!$O$17:$O$26</c:f>
              <c:numCache>
                <c:formatCode>General</c:formatCode>
                <c:ptCount val="9"/>
                <c:pt idx="0">
                  <c:v>1375.8965517241379</c:v>
                </c:pt>
                <c:pt idx="1">
                  <c:v>1365.25</c:v>
                </c:pt>
                <c:pt idx="2">
                  <c:v>1344.695652173913</c:v>
                </c:pt>
                <c:pt idx="3">
                  <c:v>1289</c:v>
                </c:pt>
                <c:pt idx="4">
                  <c:v>1087.75</c:v>
                </c:pt>
                <c:pt idx="5">
                  <c:v>1069.3461538461538</c:v>
                </c:pt>
                <c:pt idx="6">
                  <c:v>1068.25</c:v>
                </c:pt>
                <c:pt idx="7">
                  <c:v>1065.4117647058824</c:v>
                </c:pt>
                <c:pt idx="8">
                  <c:v>1062.1052631578948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F2-4D5D-983A-62292FC94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7030335"/>
        <c:axId val="1497026975"/>
      </c:barChart>
      <c:catAx>
        <c:axId val="149703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26975"/>
        <c:crosses val="autoZero"/>
        <c:auto val="1"/>
        <c:lblAlgn val="ctr"/>
        <c:lblOffset val="100"/>
        <c:noMultiLvlLbl val="0"/>
      </c:catAx>
      <c:valAx>
        <c:axId val="149702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cleaned and answerd project.xlsx]Turnover by department!PivotTable3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Turn</a:t>
            </a:r>
            <a:r>
              <a:rPr lang="en-US" baseline="0"/>
              <a:t>over by department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9004855643044631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'Turnover by department'!$O$16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'Turnover by department'!$N$17:$N$26</c:f>
              <c:strCache>
                <c:ptCount val="9"/>
                <c:pt idx="0">
                  <c:v>Logistics</c:v>
                </c:pt>
                <c:pt idx="1">
                  <c:v>Human Resources</c:v>
                </c:pt>
                <c:pt idx="2">
                  <c:v>Production</c:v>
                </c:pt>
                <c:pt idx="3">
                  <c:v>Quality Control</c:v>
                </c:pt>
                <c:pt idx="4">
                  <c:v>Marketing</c:v>
                </c:pt>
                <c:pt idx="5">
                  <c:v>Research &amp; Development</c:v>
                </c:pt>
                <c:pt idx="6">
                  <c:v>Sales</c:v>
                </c:pt>
                <c:pt idx="7">
                  <c:v>Finance</c:v>
                </c:pt>
                <c:pt idx="8">
                  <c:v>IT Support</c:v>
                </c:pt>
              </c:strCache>
            </c:strRef>
          </c:cat>
          <c:val>
            <c:numRef>
              <c:f>'Turnover by department'!$O$17:$O$26</c:f>
              <c:numCache>
                <c:formatCode>General</c:formatCode>
                <c:ptCount val="9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71-417C-B31F-609E3F9C1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7030335"/>
        <c:axId val="1497026975"/>
      </c:barChart>
      <c:catAx>
        <c:axId val="149703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26975"/>
        <c:crosses val="autoZero"/>
        <c:auto val="1"/>
        <c:lblAlgn val="ctr"/>
        <c:lblOffset val="100"/>
        <c:noMultiLvlLbl val="0"/>
      </c:catAx>
      <c:valAx>
        <c:axId val="149702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 cleaned and answerd project.xlsx]Terminated by gender!PivotTable3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Terminated by gender</a:t>
            </a:r>
          </a:p>
        </c:rich>
      </c:tx>
      <c:layout>
        <c:manualLayout>
          <c:xMode val="edge"/>
          <c:yMode val="edge"/>
          <c:x val="0.49004855643044631"/>
          <c:y val="7.20326625838436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'Terminated by gender'!$O$16:$O$17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'Terminated by gender'!$N$18:$N$27</c:f>
              <c:strCache>
                <c:ptCount val="9"/>
                <c:pt idx="0">
                  <c:v>Finance</c:v>
                </c:pt>
                <c:pt idx="1">
                  <c:v>Human Resources</c:v>
                </c:pt>
                <c:pt idx="2">
                  <c:v>IT Support</c:v>
                </c:pt>
                <c:pt idx="3">
                  <c:v>Logistics</c:v>
                </c:pt>
                <c:pt idx="4">
                  <c:v>Marketing</c:v>
                </c:pt>
                <c:pt idx="5">
                  <c:v>Production</c:v>
                </c:pt>
                <c:pt idx="6">
                  <c:v>Quality Control</c:v>
                </c:pt>
                <c:pt idx="7">
                  <c:v>Research &amp; Development</c:v>
                </c:pt>
                <c:pt idx="8">
                  <c:v>Sales</c:v>
                </c:pt>
              </c:strCache>
            </c:strRef>
          </c:cat>
          <c:val>
            <c:numRef>
              <c:f>'Terminated by gender'!$O$18:$O$27</c:f>
              <c:numCache>
                <c:formatCode>General</c:formatCode>
                <c:ptCount val="9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1-4C82-B2F2-DCEC75816D8E}"/>
            </c:ext>
          </c:extLst>
        </c:ser>
        <c:ser>
          <c:idx val="1"/>
          <c:order val="1"/>
          <c:tx>
            <c:strRef>
              <c:f>'Terminated by gender'!$P$16:$P$17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'Terminated by gender'!$N$18:$N$27</c:f>
              <c:strCache>
                <c:ptCount val="9"/>
                <c:pt idx="0">
                  <c:v>Finance</c:v>
                </c:pt>
                <c:pt idx="1">
                  <c:v>Human Resources</c:v>
                </c:pt>
                <c:pt idx="2">
                  <c:v>IT Support</c:v>
                </c:pt>
                <c:pt idx="3">
                  <c:v>Logistics</c:v>
                </c:pt>
                <c:pt idx="4">
                  <c:v>Marketing</c:v>
                </c:pt>
                <c:pt idx="5">
                  <c:v>Production</c:v>
                </c:pt>
                <c:pt idx="6">
                  <c:v>Quality Control</c:v>
                </c:pt>
                <c:pt idx="7">
                  <c:v>Research &amp; Development</c:v>
                </c:pt>
                <c:pt idx="8">
                  <c:v>Sales</c:v>
                </c:pt>
              </c:strCache>
            </c:strRef>
          </c:cat>
          <c:val>
            <c:numRef>
              <c:f>'Terminated by gender'!$P$18:$P$27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3">
                  <c:v>1</c:v>
                </c:pt>
                <c:pt idx="4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1-4C82-B2F2-DCEC75816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7030335"/>
        <c:axId val="1497026975"/>
      </c:barChart>
      <c:catAx>
        <c:axId val="1497030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26975"/>
        <c:crosses val="autoZero"/>
        <c:auto val="1"/>
        <c:lblAlgn val="ctr"/>
        <c:lblOffset val="100"/>
        <c:noMultiLvlLbl val="0"/>
      </c:catAx>
      <c:valAx>
        <c:axId val="149702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3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945776</xdr:colOff>
      <xdr:row>33</xdr:row>
      <xdr:rowOff>62753</xdr:rowOff>
    </xdr:from>
    <xdr:to>
      <xdr:col>21</xdr:col>
      <xdr:colOff>564776</xdr:colOff>
      <xdr:row>70</xdr:row>
      <xdr:rowOff>40341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95261-0919-4450-96E8-2AD19BFC8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1021978</xdr:colOff>
      <xdr:row>2</xdr:row>
      <xdr:rowOff>76200</xdr:rowOff>
    </xdr:from>
    <xdr:to>
      <xdr:col>24</xdr:col>
      <xdr:colOff>389966</xdr:colOff>
      <xdr:row>38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329132-C792-4604-B2C5-08C27ECFCF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1021978</xdr:colOff>
      <xdr:row>2</xdr:row>
      <xdr:rowOff>76200</xdr:rowOff>
    </xdr:from>
    <xdr:to>
      <xdr:col>24</xdr:col>
      <xdr:colOff>389966</xdr:colOff>
      <xdr:row>38</xdr:row>
      <xdr:rowOff>143435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6C6846-A831-4A92-A113-AECD901067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416859</xdr:colOff>
      <xdr:row>2</xdr:row>
      <xdr:rowOff>76200</xdr:rowOff>
    </xdr:from>
    <xdr:to>
      <xdr:col>24</xdr:col>
      <xdr:colOff>389965</xdr:colOff>
      <xdr:row>24</xdr:row>
      <xdr:rowOff>129988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56A539-A66E-E4F9-4050-A759EE789C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135.565954050922" createdVersion="8" refreshedVersion="8" minRefreshableVersion="3" recordCount="200" xr:uid="{39818A3B-86DA-4870-B042-29186607674E}">
  <cacheSource type="worksheet">
    <worksheetSource ref="A1:L201" sheet="Terminated by gender"/>
  </cacheSource>
  <cacheFields count="12">
    <cacheField name="EmployeeID" numFmtId="0">
      <sharedItems count="200">
        <s v="JOG-1159"/>
        <s v="JOG-1033"/>
        <s v="JOG-1163"/>
        <s v="JOG-1014"/>
        <s v="JOG-1122"/>
        <s v="JOG-1095"/>
        <s v="JOG-1131"/>
        <s v="JOG-1052"/>
        <s v="JOG-1182"/>
        <s v="JOG-1172"/>
        <s v="JOG-1192"/>
        <s v="JOG-1130"/>
        <s v="JOG-1155"/>
        <s v="JOG-1084"/>
        <s v="JOG-1144"/>
        <s v="JOG-1107"/>
        <s v="JOG-1123"/>
        <s v="JOG-1156"/>
        <s v="JOG-1174"/>
        <s v="JOG-1073"/>
        <s v="JOG-1135"/>
        <s v="JOG-1043"/>
        <s v="JOG-1117"/>
        <s v="JOG-1024"/>
        <s v="JOG-1145"/>
        <s v="JOG-1092"/>
        <s v="JOG-1020"/>
        <s v="JOG-1031"/>
        <s v="JOG-1136"/>
        <s v="JOG-1152"/>
        <s v="JOG-1058"/>
        <s v="JOG-1048"/>
        <s v="JOG-1030"/>
        <s v="JOG-1054"/>
        <s v="JOG-1093"/>
        <s v="JOG-1134"/>
        <s v="JOG-1147"/>
        <s v="JOG-1099"/>
        <s v="JOG-1140"/>
        <s v="JOG-1116"/>
        <s v="JOG-1138"/>
        <s v="JOG-1186"/>
        <s v="JOG-1169"/>
        <s v="JOG-1038"/>
        <s v="JOG-1101"/>
        <s v="JOG-1126"/>
        <s v="JOG-1113"/>
        <s v="JOG-1167"/>
        <s v="JOG-1166"/>
        <s v="JOG-1173"/>
        <s v="JOG-1137"/>
        <s v="JOG-1039"/>
        <s v="JOG-1199"/>
        <s v="JOG-1066"/>
        <s v="JOG-1088"/>
        <s v="JOG-1158"/>
        <s v="JOG-1178"/>
        <s v="JOG-1028"/>
        <s v="JOG-1112"/>
        <s v="JOG-1089"/>
        <s v="JOG-1017"/>
        <s v="JOG-1046"/>
        <s v="JOG-1189"/>
        <s v="JOG-1007"/>
        <s v="JOG-1078"/>
        <s v="JOG-1082"/>
        <s v="JOG-1150"/>
        <s v="JOG-1164"/>
        <s v="JOG-1079"/>
        <s v="JOG-1047"/>
        <s v="JOG-1149"/>
        <s v="JOG-1162"/>
        <s v="JOG-1009"/>
        <s v="JOG-1170"/>
        <s v="JOG-1165"/>
        <s v="JOG-1005"/>
        <s v="JOG-1011"/>
        <s v="JOG-1193"/>
        <s v="JOG-1077"/>
        <s v="JOG-1062"/>
        <s v="JOG-1153"/>
        <s v="JOG-1160"/>
        <s v="JOG-1109"/>
        <s v="JOG-1083"/>
        <s v="JOG-1154"/>
        <s v="JOG-1016"/>
        <s v="JOG-1041"/>
        <s v="JOG-1114"/>
        <s v="JOG-1141"/>
        <s v="JOG-1142"/>
        <s v="JOG-1176"/>
        <s v="JOG-1177"/>
        <s v="JOG-1068"/>
        <s v="JOG-1196"/>
        <s v="JOG-1148"/>
        <s v="JOG-1067"/>
        <s v="JOG-1111"/>
        <s v="JOG-1171"/>
        <s v="JOG-1139"/>
        <s v="JOG-1194"/>
        <s v="JOG-1074"/>
        <s v="JOG-1128"/>
        <s v="JOG-1091"/>
        <s v="JOG-1197"/>
        <s v="JOG-1118"/>
        <s v="JOG-1053"/>
        <s v="JOG-1022"/>
        <s v="JOG-1008"/>
        <s v="JOG-1045"/>
        <s v="JOG-1001"/>
        <s v="JOG-1023"/>
        <s v="JOG-1003"/>
        <s v="JOG-1168"/>
        <s v="JOG-1125"/>
        <s v="JOG-1015"/>
        <s v="JOG-1042"/>
        <s v="JOG-1018"/>
        <s v="JOG-1050"/>
        <s v="JOG-1019"/>
        <s v="JOG-1110"/>
        <s v="JOG-1181"/>
        <s v="JOG-1161"/>
        <s v="JOG-1032"/>
        <s v="JOG-1064"/>
        <s v="JOG-1185"/>
        <s v="JOG-1070"/>
        <s v="JOG-1187"/>
        <s v="JOG-1157"/>
        <s v="JOG-1100"/>
        <s v="JOG-1106"/>
        <s v="JOG-1195"/>
        <s v="JOG-1002"/>
        <s v="JOG-1085"/>
        <s v="JOG-1094"/>
        <s v="JOG-1081"/>
        <s v="JOG-1184"/>
        <s v="JOG-1087"/>
        <s v="JOG-1004"/>
        <s v="JOG-1175"/>
        <s v="JOG-1191"/>
        <s v="JOG-1146"/>
        <s v="JOG-1056"/>
        <s v="JOG-1025"/>
        <s v="JOG-1151"/>
        <s v="JOG-1061"/>
        <s v="JOG-1006"/>
        <s v="JOG-1132"/>
        <s v="JOG-1102"/>
        <s v="JOG-1096"/>
        <s v="JOG-1198"/>
        <s v="JOG-1115"/>
        <s v="JOG-1012"/>
        <s v="JOG-1104"/>
        <s v="JOG-1190"/>
        <s v="JOG-1080"/>
        <s v="JOG-1063"/>
        <s v="JOG-1119"/>
        <s v="JOG-1065"/>
        <s v="JOG-1029"/>
        <s v="JOG-1069"/>
        <s v="JOG-1200"/>
        <s v="JOG-1133"/>
        <s v="JOG-1036"/>
        <s v="JOG-1021"/>
        <s v="JOG-1076"/>
        <s v="JOG-1108"/>
        <s v="JOG-1010"/>
        <s v="JOG-1035"/>
        <s v="JOG-1034"/>
        <s v="JOG-1057"/>
        <s v="JOG-1044"/>
        <s v="JOG-1183"/>
        <s v="JOG-1098"/>
        <s v="JOG-1060"/>
        <s v="JOG-1027"/>
        <s v="JOG-1127"/>
        <s v="JOG-1180"/>
        <s v="JOG-1072"/>
        <s v="JOG-1037"/>
        <s v="JOG-1143"/>
        <s v="JOG-1097"/>
        <s v="JOG-1103"/>
        <s v="JOG-1075"/>
        <s v="JOG-1188"/>
        <s v="JOG-1055"/>
        <s v="JOG-1120"/>
        <s v="JOG-1051"/>
        <s v="JOG-1040"/>
        <s v="JOG-1013"/>
        <s v="JOG-1105"/>
        <s v="JOG-1090"/>
        <s v="JOG-1049"/>
        <s v="JOG-1121"/>
        <s v="JOG-1086"/>
        <s v="JOG-1129"/>
        <s v="JOG-1059"/>
        <s v="JOG-1026"/>
        <s v="JOG-1071"/>
        <s v="JOG-1124"/>
        <s v="JOG-1179"/>
      </sharedItems>
    </cacheField>
    <cacheField name="Department" numFmtId="0">
      <sharedItems count="9">
        <s v="Research &amp; Development"/>
        <s v="IT Support"/>
        <s v="Logistics"/>
        <s v="Finance"/>
        <s v="Quality Control"/>
        <s v="Marketing"/>
        <s v="Human Resources"/>
        <s v="Sales"/>
        <s v="Production"/>
      </sharedItems>
    </cacheField>
    <cacheField name="JobTitle" numFmtId="0">
      <sharedItems/>
    </cacheField>
    <cacheField name="Email" numFmtId="0">
      <sharedItems/>
    </cacheField>
    <cacheField name="Gender" numFmtId="0">
      <sharedItems count="3">
        <s v="Null"/>
        <s v="Female"/>
        <s v="Male"/>
      </sharedItems>
    </cacheField>
    <cacheField name="HireDate" numFmtId="14">
      <sharedItems containsSemiMixedTypes="0" containsNonDate="0" containsDate="1" containsString="0" minDate="2018-01-20T00:00:00" maxDate="2025-10-17T00:00:00"/>
    </cacheField>
    <cacheField name="TerminationDate" numFmtId="14">
      <sharedItems containsNonDate="0" containsDate="1" containsString="0" containsBlank="1" minDate="2021-03-12T00:00:00" maxDate="2030-01-19T00:00:00"/>
    </cacheField>
    <cacheField name="Salary" numFmtId="0">
      <sharedItems containsSemiMixedTypes="0" containsString="0" containsNumber="1" containsInteger="1" minValue="286" maxValue="2090"/>
    </cacheField>
    <cacheField name="ManagerID" numFmtId="0">
      <sharedItems containsBlank="1"/>
    </cacheField>
    <cacheField name="PerformanceRating" numFmtId="0">
      <sharedItems containsSemiMixedTypes="0" containsString="0" containsNumber="1" containsInteger="1" minValue="2" maxValue="5"/>
    </cacheField>
    <cacheField name="Status" numFmtId="0">
      <sharedItems count="2">
        <s v="Active"/>
        <s v="Terminated"/>
      </sharedItems>
    </cacheField>
    <cacheField name="Column1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s v="Scientist"/>
    <s v="employees.1159@jogate.com"/>
    <x v="0"/>
    <d v="2018-01-20T00:00:00"/>
    <m/>
    <n v="403"/>
    <s v="JOG-1048"/>
    <n v="2"/>
    <x v="0"/>
    <m/>
  </r>
  <r>
    <x v="1"/>
    <x v="1"/>
    <s v="Help Desk Specialist"/>
    <s v="employees.1033@jogate.com"/>
    <x v="1"/>
    <d v="2018-01-30T00:00:00"/>
    <m/>
    <n v="1785"/>
    <s v="JOG-1107"/>
    <n v="4"/>
    <x v="0"/>
    <m/>
  </r>
  <r>
    <x v="2"/>
    <x v="2"/>
    <s v="Logistics Coordinator"/>
    <s v="employees.1163@jogate.com"/>
    <x v="1"/>
    <d v="2018-02-07T00:00:00"/>
    <d v="2023-02-23T00:00:00"/>
    <n v="551"/>
    <s v="JOG-1164"/>
    <n v="3"/>
    <x v="1"/>
    <m/>
  </r>
  <r>
    <x v="3"/>
    <x v="3"/>
    <s v="Controller"/>
    <s v="employees.1014@jogate.com"/>
    <x v="1"/>
    <d v="2018-03-03T00:00:00"/>
    <m/>
    <n v="1150"/>
    <s v="JOG-1164"/>
    <n v="2"/>
    <x v="0"/>
    <m/>
  </r>
  <r>
    <x v="4"/>
    <x v="4"/>
    <s v="Qc Inspector"/>
    <s v="employees.1122@jogate.com"/>
    <x v="0"/>
    <d v="2018-03-12T00:00:00"/>
    <m/>
    <n v="1528"/>
    <s v="JOG-1044"/>
    <n v="5"/>
    <x v="0"/>
    <m/>
  </r>
  <r>
    <x v="5"/>
    <x v="5"/>
    <s v="Marketing Manager"/>
    <s v="employees.1095@jogate.com"/>
    <x v="1"/>
    <d v="2018-03-25T00:00:00"/>
    <d v="2022-07-22T00:00:00"/>
    <n v="1696"/>
    <m/>
    <n v="5"/>
    <x v="1"/>
    <m/>
  </r>
  <r>
    <x v="6"/>
    <x v="6"/>
    <s v="Hr Coordinator"/>
    <s v="employees.1131@jogate.com"/>
    <x v="1"/>
    <d v="2018-03-30T00:00:00"/>
    <m/>
    <n v="338"/>
    <s v="JOG-1174"/>
    <n v="3"/>
    <x v="0"/>
    <m/>
  </r>
  <r>
    <x v="7"/>
    <x v="0"/>
    <s v="Research Lead"/>
    <s v="employees.1052@jogate.com"/>
    <x v="1"/>
    <d v="2018-04-10T00:00:00"/>
    <m/>
    <n v="318"/>
    <s v="JOG-1136"/>
    <n v="2"/>
    <x v="0"/>
    <m/>
  </r>
  <r>
    <x v="8"/>
    <x v="7"/>
    <s v="Regional Sales Manager"/>
    <s v="employees.1182@jogate.com"/>
    <x v="1"/>
    <d v="2018-04-15T00:00:00"/>
    <m/>
    <n v="1646"/>
    <m/>
    <n v="2"/>
    <x v="0"/>
    <m/>
  </r>
  <r>
    <x v="9"/>
    <x v="8"/>
    <s v="Operations Manager"/>
    <s v="employees.1172@jogate.com"/>
    <x v="2"/>
    <d v="2018-05-09T00:00:00"/>
    <m/>
    <n v="1440"/>
    <m/>
    <n v="3"/>
    <x v="0"/>
    <m/>
  </r>
  <r>
    <x v="10"/>
    <x v="4"/>
    <s v="Qc Manager"/>
    <s v="employees.1192@jogate.com"/>
    <x v="0"/>
    <d v="2018-05-09T00:00:00"/>
    <d v="2022-02-26T00:00:00"/>
    <n v="2082"/>
    <m/>
    <n v="2"/>
    <x v="1"/>
    <m/>
  </r>
  <r>
    <x v="11"/>
    <x v="6"/>
    <s v="Hr Generalist"/>
    <s v="employees.1130@jogate.com"/>
    <x v="0"/>
    <d v="2018-05-24T00:00:00"/>
    <m/>
    <n v="1088"/>
    <s v="JOG-1064"/>
    <n v="3"/>
    <x v="0"/>
    <m/>
  </r>
  <r>
    <x v="12"/>
    <x v="6"/>
    <s v="Recruiter"/>
    <s v="employees.1155@jogate.com"/>
    <x v="0"/>
    <d v="2018-06-12T00:00:00"/>
    <m/>
    <n v="1236"/>
    <s v="JOG-1198"/>
    <n v="5"/>
    <x v="0"/>
    <m/>
  </r>
  <r>
    <x v="13"/>
    <x v="2"/>
    <s v="Warehouse Associate"/>
    <s v="employees.1084@jogate.com"/>
    <x v="2"/>
    <d v="2018-06-29T00:00:00"/>
    <m/>
    <n v="1554"/>
    <s v="JOG-1120"/>
    <n v="4"/>
    <x v="0"/>
    <m/>
  </r>
  <r>
    <x v="14"/>
    <x v="8"/>
    <s v="Operations Manager"/>
    <s v="employees.1144@jogate.com"/>
    <x v="2"/>
    <d v="2018-07-08T00:00:00"/>
    <m/>
    <n v="814"/>
    <m/>
    <n v="5"/>
    <x v="0"/>
    <m/>
  </r>
  <r>
    <x v="15"/>
    <x v="4"/>
    <s v="Qc Manager"/>
    <s v="employees.1022@jogate.com"/>
    <x v="2"/>
    <d v="2018-07-11T00:00:00"/>
    <d v="2021-03-12T00:00:00"/>
    <n v="1594"/>
    <m/>
    <n v="2"/>
    <x v="1"/>
    <m/>
  </r>
  <r>
    <x v="16"/>
    <x v="0"/>
    <s v="Scientist"/>
    <s v="employees.1123@jogate.com"/>
    <x v="1"/>
    <d v="2018-07-27T00:00:00"/>
    <m/>
    <n v="1591"/>
    <s v="JOG-1044"/>
    <n v="5"/>
    <x v="0"/>
    <m/>
  </r>
  <r>
    <x v="17"/>
    <x v="3"/>
    <s v="Accountant"/>
    <s v="employees.1156@jogate.com"/>
    <x v="0"/>
    <d v="2018-08-11T00:00:00"/>
    <m/>
    <n v="1899"/>
    <s v="JOG-1050"/>
    <n v="2"/>
    <x v="0"/>
    <m/>
  </r>
  <r>
    <x v="18"/>
    <x v="4"/>
    <s v="Qc Manager"/>
    <s v="employees.1174@jogate.com"/>
    <x v="0"/>
    <d v="2018-08-24T00:00:00"/>
    <m/>
    <n v="1529"/>
    <m/>
    <n v="3"/>
    <x v="0"/>
    <m/>
  </r>
  <r>
    <x v="19"/>
    <x v="8"/>
    <s v="Line Supervisor"/>
    <s v="employees.1073@jogate.com"/>
    <x v="1"/>
    <d v="2018-08-25T00:00:00"/>
    <d v="2021-03-23T00:00:00"/>
    <n v="1593"/>
    <s v="JOG-1050"/>
    <n v="3"/>
    <x v="1"/>
    <m/>
  </r>
  <r>
    <x v="20"/>
    <x v="4"/>
    <s v="Qc Manager"/>
    <s v="employees.1135@jogate.com"/>
    <x v="2"/>
    <d v="2018-09-02T00:00:00"/>
    <m/>
    <n v="1820"/>
    <m/>
    <n v="4"/>
    <x v="0"/>
    <m/>
  </r>
  <r>
    <x v="21"/>
    <x v="0"/>
    <s v="Research Lead"/>
    <s v="employees.1043@jogate.com"/>
    <x v="1"/>
    <d v="2018-09-06T00:00:00"/>
    <d v="2023-06-04T00:00:00"/>
    <n v="1802"/>
    <s v="JOG-1107"/>
    <n v="5"/>
    <x v="1"/>
    <m/>
  </r>
  <r>
    <x v="22"/>
    <x v="3"/>
    <s v="Controller"/>
    <s v="employees.1117@jogate.com"/>
    <x v="0"/>
    <d v="2018-09-06T00:00:00"/>
    <m/>
    <n v="1009"/>
    <s v="JOG-1060"/>
    <n v="2"/>
    <x v="0"/>
    <m/>
  </r>
  <r>
    <x v="23"/>
    <x v="1"/>
    <s v="Help Desk Specialist"/>
    <s v="employees.1024@jogate.com"/>
    <x v="1"/>
    <d v="2018-09-10T00:00:00"/>
    <m/>
    <n v="761"/>
    <s v="JOG-1120"/>
    <n v="4"/>
    <x v="0"/>
    <m/>
  </r>
  <r>
    <x v="24"/>
    <x v="7"/>
    <s v="Sales Associate"/>
    <s v="employees.1145@jogate.com"/>
    <x v="2"/>
    <d v="2018-10-31T00:00:00"/>
    <m/>
    <n v="994"/>
    <s v="JOG-1006"/>
    <n v="5"/>
    <x v="0"/>
    <m/>
  </r>
  <r>
    <x v="25"/>
    <x v="8"/>
    <s v="Production Worker"/>
    <s v="employees.1092@jogate.com"/>
    <x v="0"/>
    <d v="2018-11-10T00:00:00"/>
    <m/>
    <n v="466"/>
    <s v="JOG-1060"/>
    <n v="5"/>
    <x v="0"/>
    <m/>
  </r>
  <r>
    <x v="26"/>
    <x v="3"/>
    <s v="Financial Analyst"/>
    <s v="employees.1073@jogate.com"/>
    <x v="2"/>
    <d v="2018-12-21T00:00:00"/>
    <d v="2023-01-04T00:00:00"/>
    <n v="1814"/>
    <s v="JOG-1064"/>
    <n v="2"/>
    <x v="1"/>
    <m/>
  </r>
  <r>
    <x v="27"/>
    <x v="3"/>
    <s v="Accountant"/>
    <s v="employees.1031@jogate.com"/>
    <x v="0"/>
    <d v="2018-12-22T00:00:00"/>
    <m/>
    <n v="454"/>
    <s v="JOG-1144"/>
    <n v="4"/>
    <x v="0"/>
    <m/>
  </r>
  <r>
    <x v="28"/>
    <x v="5"/>
    <s v="Marketing Manager"/>
    <s v="employees.1136@jogate.com"/>
    <x v="1"/>
    <d v="2019-01-07T00:00:00"/>
    <m/>
    <n v="1933"/>
    <m/>
    <n v="4"/>
    <x v="0"/>
    <m/>
  </r>
  <r>
    <x v="29"/>
    <x v="0"/>
    <s v="Lab Technician"/>
    <s v="employees.1152@jogate.com"/>
    <x v="0"/>
    <d v="2019-01-09T00:00:00"/>
    <m/>
    <n v="946"/>
    <s v="JOG-1192"/>
    <n v="4"/>
    <x v="0"/>
    <m/>
  </r>
  <r>
    <x v="30"/>
    <x v="1"/>
    <s v="Help Desk Specialist"/>
    <s v="employees.1028@jogate.com"/>
    <x v="0"/>
    <d v="2019-02-08T00:00:00"/>
    <m/>
    <n v="2088"/>
    <s v="JOG-1044"/>
    <n v="4"/>
    <x v="0"/>
    <m/>
  </r>
  <r>
    <x v="31"/>
    <x v="0"/>
    <s v="Research Lead"/>
    <s v="employees.1048@jogate.com"/>
    <x v="0"/>
    <d v="2019-02-23T00:00:00"/>
    <m/>
    <n v="1258"/>
    <s v="JOG-1030"/>
    <n v="5"/>
    <x v="0"/>
    <m/>
  </r>
  <r>
    <x v="32"/>
    <x v="5"/>
    <s v="Marketing Manager"/>
    <s v="employees.1030@jogate.com"/>
    <x v="2"/>
    <d v="2019-03-06T00:00:00"/>
    <m/>
    <n v="953"/>
    <m/>
    <n v="5"/>
    <x v="0"/>
    <m/>
  </r>
  <r>
    <x v="33"/>
    <x v="2"/>
    <s v="Warehouse Associate"/>
    <s v="employees.1066@jogate.com"/>
    <x v="0"/>
    <d v="2019-03-07T00:00:00"/>
    <m/>
    <n v="1632"/>
    <s v="JOG-1095"/>
    <n v="3"/>
    <x v="0"/>
    <m/>
  </r>
  <r>
    <x v="34"/>
    <x v="6"/>
    <s v="Hr Generalist"/>
    <s v="employees.1093@jogate.com"/>
    <x v="2"/>
    <d v="2019-03-10T00:00:00"/>
    <d v="2022-02-14T00:00:00"/>
    <n v="1750"/>
    <s v="JOG-1095"/>
    <n v="4"/>
    <x v="1"/>
    <m/>
  </r>
  <r>
    <x v="35"/>
    <x v="2"/>
    <s v="Logistics Coordinator"/>
    <s v="employees.1134@jogate.com"/>
    <x v="2"/>
    <d v="2019-03-21T00:00:00"/>
    <m/>
    <n v="1986"/>
    <s v="JOG-1165"/>
    <n v="5"/>
    <x v="0"/>
    <m/>
  </r>
  <r>
    <x v="36"/>
    <x v="4"/>
    <s v="Qc Inspector"/>
    <s v="employees.1147@jogate.com"/>
    <x v="2"/>
    <d v="2019-03-29T00:00:00"/>
    <m/>
    <n v="1250"/>
    <s v="JOG-1094"/>
    <n v="2"/>
    <x v="0"/>
    <m/>
  </r>
  <r>
    <x v="37"/>
    <x v="8"/>
    <s v="Operations Manager"/>
    <s v="employees.1099@jogate.com"/>
    <x v="2"/>
    <d v="2019-04-05T00:00:00"/>
    <m/>
    <n v="1039"/>
    <m/>
    <n v="3"/>
    <x v="0"/>
    <m/>
  </r>
  <r>
    <x v="38"/>
    <x v="8"/>
    <s v="Operations Manager"/>
    <s v="employees.1140@jogate.com"/>
    <x v="0"/>
    <d v="2019-04-05T00:00:00"/>
    <m/>
    <n v="448"/>
    <m/>
    <n v="4"/>
    <x v="0"/>
    <m/>
  </r>
  <r>
    <x v="39"/>
    <x v="3"/>
    <s v="Financial Analyst"/>
    <s v="employees.1116@jogate.com"/>
    <x v="2"/>
    <d v="2019-04-11T00:00:00"/>
    <m/>
    <n v="463"/>
    <s v="JOG-1043"/>
    <n v="3"/>
    <x v="0"/>
    <m/>
  </r>
  <r>
    <x v="40"/>
    <x v="4"/>
    <s v="Qc Inspector"/>
    <s v="employees.1138@jogate.com"/>
    <x v="0"/>
    <d v="2019-04-24T00:00:00"/>
    <m/>
    <n v="802"/>
    <s v="JOG-1040"/>
    <n v="2"/>
    <x v="0"/>
    <m/>
  </r>
  <r>
    <x v="41"/>
    <x v="8"/>
    <s v="Line Supervisor"/>
    <s v="employees.1186@jogate.com"/>
    <x v="1"/>
    <d v="2019-05-09T00:00:00"/>
    <m/>
    <n v="1461"/>
    <s v="JOG-1008"/>
    <n v="3"/>
    <x v="0"/>
    <m/>
  </r>
  <r>
    <x v="42"/>
    <x v="2"/>
    <s v="Warehouse Associate"/>
    <s v="employees.1169@jogate.com"/>
    <x v="2"/>
    <d v="2019-05-16T00:00:00"/>
    <m/>
    <n v="1953"/>
    <s v="JOG-1091"/>
    <n v="3"/>
    <x v="0"/>
    <m/>
  </r>
  <r>
    <x v="43"/>
    <x v="4"/>
    <s v="Qc Manager"/>
    <s v="employees.1099@jogate.com"/>
    <x v="1"/>
    <d v="2019-06-04T00:00:00"/>
    <m/>
    <n v="1755"/>
    <m/>
    <n v="5"/>
    <x v="0"/>
    <m/>
  </r>
  <r>
    <x v="44"/>
    <x v="5"/>
    <s v="Digital Marketer"/>
    <s v="employees.1074@jogate.com"/>
    <x v="0"/>
    <d v="2019-06-17T00:00:00"/>
    <m/>
    <n v="348"/>
    <s v="JOG-1144"/>
    <n v="3"/>
    <x v="0"/>
    <m/>
  </r>
  <r>
    <x v="45"/>
    <x v="5"/>
    <s v="Marketing Coordinator"/>
    <s v="employees.1126@jogate.com"/>
    <x v="0"/>
    <d v="2019-07-17T00:00:00"/>
    <m/>
    <n v="779"/>
    <s v="JOG-1019"/>
    <n v="2"/>
    <x v="0"/>
    <m/>
  </r>
  <r>
    <x v="46"/>
    <x v="8"/>
    <s v="Production Worker"/>
    <s v="employees.1168@jogate.com"/>
    <x v="2"/>
    <d v="2019-07-18T00:00:00"/>
    <m/>
    <n v="620"/>
    <s v="JOG-1174"/>
    <n v="5"/>
    <x v="0"/>
    <m/>
  </r>
  <r>
    <x v="47"/>
    <x v="6"/>
    <s v="Hr Coordinator"/>
    <s v="employees.1167@jogate.com"/>
    <x v="2"/>
    <d v="2019-07-21T00:00:00"/>
    <m/>
    <n v="1900"/>
    <s v="JOG-1052"/>
    <n v="5"/>
    <x v="0"/>
    <m/>
  </r>
  <r>
    <x v="48"/>
    <x v="7"/>
    <s v="Sales Associate"/>
    <s v="employees.1166@jogate.com"/>
    <x v="0"/>
    <d v="2019-09-26T00:00:00"/>
    <m/>
    <n v="2049"/>
    <s v="JOG-1173"/>
    <n v="5"/>
    <x v="0"/>
    <m/>
  </r>
  <r>
    <x v="49"/>
    <x v="4"/>
    <s v="Qc Manager"/>
    <s v="employees.1173@jogate.com"/>
    <x v="1"/>
    <d v="2019-10-06T00:00:00"/>
    <m/>
    <n v="1885"/>
    <m/>
    <n v="4"/>
    <x v="0"/>
    <m/>
  </r>
  <r>
    <x v="50"/>
    <x v="5"/>
    <s v="Digital Marketer"/>
    <s v="employees.1137@jogate.com"/>
    <x v="0"/>
    <d v="2019-10-16T00:00:00"/>
    <d v="2023-11-28T00:00:00"/>
    <n v="1769"/>
    <s v="JOG-1187"/>
    <n v="5"/>
    <x v="1"/>
    <m/>
  </r>
  <r>
    <x v="51"/>
    <x v="3"/>
    <s v="Accountant"/>
    <s v="employees.1039@jogate.com"/>
    <x v="0"/>
    <d v="2019-11-10T00:00:00"/>
    <m/>
    <n v="1859"/>
    <s v="JOG-1088"/>
    <n v="3"/>
    <x v="0"/>
    <m/>
  </r>
  <r>
    <x v="52"/>
    <x v="2"/>
    <s v="Warehouse Associate"/>
    <s v="employees.1199@jogate.com"/>
    <x v="0"/>
    <d v="2019-11-18T00:00:00"/>
    <m/>
    <n v="1163"/>
    <s v="JOG-1140"/>
    <n v="2"/>
    <x v="0"/>
    <m/>
  </r>
  <r>
    <x v="53"/>
    <x v="3"/>
    <s v="Financial Analyst"/>
    <s v="employees.1066@jogate.com"/>
    <x v="0"/>
    <d v="2019-12-18T00:00:00"/>
    <d v="2022-07-23T00:00:00"/>
    <n v="1573"/>
    <s v="JOG-1048"/>
    <n v="3"/>
    <x v="1"/>
    <m/>
  </r>
  <r>
    <x v="54"/>
    <x v="8"/>
    <s v="Operations Manager"/>
    <s v="employees.1088@jogate.com"/>
    <x v="1"/>
    <d v="2020-01-03T00:00:00"/>
    <d v="2022-10-02T00:00:00"/>
    <n v="425"/>
    <m/>
    <n v="4"/>
    <x v="1"/>
    <m/>
  </r>
  <r>
    <x v="55"/>
    <x v="1"/>
    <s v="It Technician"/>
    <s v="employees.1158@jogate.com"/>
    <x v="0"/>
    <d v="2020-01-09T00:00:00"/>
    <m/>
    <n v="544"/>
    <s v="JOG-1103"/>
    <n v="4"/>
    <x v="0"/>
    <m/>
  </r>
  <r>
    <x v="56"/>
    <x v="4"/>
    <s v="Qc Manager"/>
    <s v="employees.1178@jogate.com"/>
    <x v="0"/>
    <d v="2020-01-11T00:00:00"/>
    <m/>
    <n v="1476"/>
    <m/>
    <n v="4"/>
    <x v="0"/>
    <m/>
  </r>
  <r>
    <x v="57"/>
    <x v="2"/>
    <s v="Logistics Coordinator"/>
    <s v="employees.1031@jogate.com"/>
    <x v="2"/>
    <d v="2020-02-29T00:00:00"/>
    <m/>
    <n v="637"/>
    <s v="JOG-1082"/>
    <n v="2"/>
    <x v="0"/>
    <m/>
  </r>
  <r>
    <x v="58"/>
    <x v="8"/>
    <s v="Line Supervisor"/>
    <s v="employees.1003@jogate.com"/>
    <x v="0"/>
    <d v="2020-03-05T00:00:00"/>
    <m/>
    <n v="923"/>
    <s v="JOG-1136"/>
    <n v="3"/>
    <x v="0"/>
    <m/>
  </r>
  <r>
    <x v="59"/>
    <x v="2"/>
    <s v="Warehouse Associate"/>
    <s v="employees.1089@jogate.com"/>
    <x v="0"/>
    <d v="2020-03-09T00:00:00"/>
    <d v="2022-04-30T00:00:00"/>
    <n v="1591"/>
    <s v="JOG-1164"/>
    <n v="5"/>
    <x v="1"/>
    <m/>
  </r>
  <r>
    <x v="60"/>
    <x v="4"/>
    <s v="Qc Inspector"/>
    <s v="employees.1123@jogate.com"/>
    <x v="2"/>
    <d v="2020-03-21T00:00:00"/>
    <m/>
    <n v="2045"/>
    <s v="JOG-1008"/>
    <n v="4"/>
    <x v="0"/>
    <m/>
  </r>
  <r>
    <x v="61"/>
    <x v="6"/>
    <s v="Hr Generalist"/>
    <s v="employees.1046@jogate.com"/>
    <x v="0"/>
    <d v="2020-04-04T00:00:00"/>
    <m/>
    <n v="530"/>
    <s v="JOG-1043"/>
    <n v="5"/>
    <x v="0"/>
    <m/>
  </r>
  <r>
    <x v="62"/>
    <x v="8"/>
    <s v="Line Supervisor"/>
    <s v="employees.1189@jogate.com"/>
    <x v="1"/>
    <d v="2020-04-13T00:00:00"/>
    <d v="2021-12-20T00:00:00"/>
    <n v="1204"/>
    <s v="JOG-1030"/>
    <n v="4"/>
    <x v="1"/>
    <m/>
  </r>
  <r>
    <x v="63"/>
    <x v="1"/>
    <s v="It Manager"/>
    <s v="employees.1131@jogate.com"/>
    <x v="0"/>
    <d v="2020-04-14T00:00:00"/>
    <m/>
    <n v="861"/>
    <m/>
    <n v="4"/>
    <x v="0"/>
    <m/>
  </r>
  <r>
    <x v="64"/>
    <x v="2"/>
    <s v="Warehouse Associate"/>
    <s v="employees.1193@jogate.com"/>
    <x v="2"/>
    <d v="2020-04-14T00:00:00"/>
    <m/>
    <n v="563"/>
    <s v="JOG-1008"/>
    <n v="3"/>
    <x v="0"/>
    <m/>
  </r>
  <r>
    <x v="65"/>
    <x v="4"/>
    <s v="Qc Manager"/>
    <s v="employees.1082@jogate.com"/>
    <x v="0"/>
    <d v="2020-04-23T00:00:00"/>
    <m/>
    <n v="1563"/>
    <m/>
    <n v="3"/>
    <x v="0"/>
    <m/>
  </r>
  <r>
    <x v="66"/>
    <x v="7"/>
    <s v="Regional Sales Manager"/>
    <s v="employees.1150@jogate.com"/>
    <x v="0"/>
    <d v="2020-05-12T00:00:00"/>
    <m/>
    <n v="1928"/>
    <m/>
    <n v="2"/>
    <x v="0"/>
    <m/>
  </r>
  <r>
    <x v="67"/>
    <x v="0"/>
    <s v="Research Lead"/>
    <s v="employees.1164@jogate.com"/>
    <x v="0"/>
    <d v="2020-05-18T00:00:00"/>
    <d v="2024-09-23T00:00:00"/>
    <n v="697"/>
    <s v="JOG-1007"/>
    <n v="4"/>
    <x v="1"/>
    <m/>
  </r>
  <r>
    <x v="68"/>
    <x v="5"/>
    <s v="Marketing Coordinator"/>
    <s v="employees.1079@jogate.com"/>
    <x v="2"/>
    <d v="2020-07-03T00:00:00"/>
    <m/>
    <n v="541"/>
    <s v="JOG-1094"/>
    <n v="5"/>
    <x v="0"/>
    <m/>
  </r>
  <r>
    <x v="69"/>
    <x v="5"/>
    <s v="Digital Marketer"/>
    <s v="employees.1047@jogate.com"/>
    <x v="2"/>
    <d v="2020-07-31T00:00:00"/>
    <m/>
    <n v="1791"/>
    <s v="JOG-1174"/>
    <n v="2"/>
    <x v="0"/>
    <m/>
  </r>
  <r>
    <x v="70"/>
    <x v="6"/>
    <s v="Hr Coordinator"/>
    <s v="employees.1149@jogate.com"/>
    <x v="2"/>
    <d v="2020-08-06T00:00:00"/>
    <m/>
    <n v="1245"/>
    <s v="JOG-1082"/>
    <n v="4"/>
    <x v="0"/>
    <m/>
  </r>
  <r>
    <x v="71"/>
    <x v="2"/>
    <s v="Warehouse Associate"/>
    <s v="employees.1162@jogate.com"/>
    <x v="2"/>
    <d v="2020-09-01T00:00:00"/>
    <m/>
    <n v="1392"/>
    <s v="JOG-1104"/>
    <n v="5"/>
    <x v="0"/>
    <m/>
  </r>
  <r>
    <x v="72"/>
    <x v="8"/>
    <s v="Line Supervisor"/>
    <s v="employees.1009@jogate.com"/>
    <x v="1"/>
    <d v="2020-09-07T00:00:00"/>
    <m/>
    <n v="723"/>
    <s v="JOG-1074"/>
    <n v="3"/>
    <x v="0"/>
    <m/>
  </r>
  <r>
    <x v="73"/>
    <x v="7"/>
    <s v="Sales Associate"/>
    <s v="employees.1170@jogate.com"/>
    <x v="0"/>
    <d v="2020-11-04T00:00:00"/>
    <m/>
    <n v="1483"/>
    <s v="JOG-1120"/>
    <n v="4"/>
    <x v="0"/>
    <m/>
  </r>
  <r>
    <x v="74"/>
    <x v="7"/>
    <s v="Account Manager"/>
    <s v="employees.1165@jogate.com"/>
    <x v="1"/>
    <d v="2020-11-14T00:00:00"/>
    <m/>
    <n v="666"/>
    <m/>
    <n v="4"/>
    <x v="0"/>
    <m/>
  </r>
  <r>
    <x v="75"/>
    <x v="6"/>
    <s v="Hr Generalist"/>
    <s v="employees.1122@jogate.com"/>
    <x v="0"/>
    <d v="2020-11-20T00:00:00"/>
    <d v="2024-01-27T00:00:00"/>
    <n v="1704"/>
    <s v="JOG-1043"/>
    <n v="5"/>
    <x v="1"/>
    <m/>
  </r>
  <r>
    <x v="76"/>
    <x v="2"/>
    <s v="Warehouse Associate"/>
    <s v="employees.1011@jogate.com"/>
    <x v="0"/>
    <d v="2020-12-15T00:00:00"/>
    <d v="2026-01-26T00:00:00"/>
    <n v="2011"/>
    <s v="JOG-1019"/>
    <n v="2"/>
    <x v="1"/>
    <m/>
  </r>
  <r>
    <x v="77"/>
    <x v="2"/>
    <s v="Logistics Coordinator"/>
    <s v="employees.1193@jogate.com"/>
    <x v="1"/>
    <d v="2020-12-25T00:00:00"/>
    <m/>
    <n v="1279"/>
    <s v="JOG-1136"/>
    <n v="5"/>
    <x v="0"/>
    <m/>
  </r>
  <r>
    <x v="78"/>
    <x v="2"/>
    <s v="Warehouse Associate"/>
    <s v="employees.1011@jogate.com"/>
    <x v="1"/>
    <d v="2021-01-01T00:00:00"/>
    <m/>
    <n v="1664"/>
    <s v="JOG-1174"/>
    <n v="5"/>
    <x v="0"/>
    <m/>
  </r>
  <r>
    <x v="79"/>
    <x v="3"/>
    <s v="Controller"/>
    <s v="employees.1062@jogate.com"/>
    <x v="0"/>
    <d v="2021-02-11T00:00:00"/>
    <m/>
    <n v="1832"/>
    <s v="JOG-1050"/>
    <n v="4"/>
    <x v="0"/>
    <m/>
  </r>
  <r>
    <x v="80"/>
    <x v="3"/>
    <s v="Financial Analyst"/>
    <s v="employees.1153@jogate.com"/>
    <x v="2"/>
    <d v="2021-02-26T00:00:00"/>
    <m/>
    <n v="1396"/>
    <s v="JOG-1088"/>
    <n v="3"/>
    <x v="0"/>
    <m/>
  </r>
  <r>
    <x v="81"/>
    <x v="8"/>
    <s v="Operations Manager"/>
    <s v="employees.1160@jogate.com"/>
    <x v="2"/>
    <d v="2021-03-05T00:00:00"/>
    <m/>
    <n v="2010"/>
    <m/>
    <n v="3"/>
    <x v="0"/>
    <m/>
  </r>
  <r>
    <x v="82"/>
    <x v="3"/>
    <s v="Controller"/>
    <s v="employees.1045@jogate.com"/>
    <x v="0"/>
    <d v="2021-03-08T00:00:00"/>
    <m/>
    <n v="717"/>
    <s v="JOG-1135"/>
    <n v="3"/>
    <x v="0"/>
    <m/>
  </r>
  <r>
    <x v="83"/>
    <x v="6"/>
    <s v="Hr Generalist"/>
    <s v="employees.1083@jogate.com"/>
    <x v="1"/>
    <d v="2021-03-19T00:00:00"/>
    <d v="2022-02-02T00:00:00"/>
    <n v="1065"/>
    <s v="JOG-1171"/>
    <n v="4"/>
    <x v="1"/>
    <m/>
  </r>
  <r>
    <x v="84"/>
    <x v="4"/>
    <s v="Qc Inspector"/>
    <s v="employees.1154@jogate.com"/>
    <x v="0"/>
    <d v="2021-03-20T00:00:00"/>
    <m/>
    <n v="434"/>
    <s v="JOG-1097"/>
    <n v="4"/>
    <x v="0"/>
    <m/>
  </r>
  <r>
    <x v="85"/>
    <x v="6"/>
    <s v="Hr Generalist"/>
    <s v="employees.1107@jogate.com"/>
    <x v="2"/>
    <d v="2021-03-27T00:00:00"/>
    <m/>
    <n v="795"/>
    <s v="JOG-1043"/>
    <n v="3"/>
    <x v="0"/>
    <m/>
  </r>
  <r>
    <x v="86"/>
    <x v="5"/>
    <s v="Marketing Coordinator"/>
    <s v="employees.1041@jogate.com"/>
    <x v="0"/>
    <d v="2021-03-30T00:00:00"/>
    <m/>
    <n v="887"/>
    <s v="JOG-1148"/>
    <n v="4"/>
    <x v="0"/>
    <m/>
  </r>
  <r>
    <x v="87"/>
    <x v="1"/>
    <s v="It Manager"/>
    <s v="employees.1114@jogate.com"/>
    <x v="2"/>
    <d v="2021-04-03T00:00:00"/>
    <m/>
    <n v="1552"/>
    <m/>
    <n v="3"/>
    <x v="0"/>
    <m/>
  </r>
  <r>
    <x v="88"/>
    <x v="8"/>
    <s v="Production Worker"/>
    <s v="employees.1141@jogate.com"/>
    <x v="2"/>
    <d v="2021-05-07T00:00:00"/>
    <m/>
    <n v="1556"/>
    <s v="JOG-1044"/>
    <n v="2"/>
    <x v="0"/>
    <m/>
  </r>
  <r>
    <x v="89"/>
    <x v="5"/>
    <s v="Digital Marketer"/>
    <s v="employees.1142@jogate.com"/>
    <x v="2"/>
    <d v="2021-05-11T00:00:00"/>
    <m/>
    <n v="432"/>
    <s v="JOG-1052"/>
    <n v="5"/>
    <x v="0"/>
    <m/>
  </r>
  <r>
    <x v="90"/>
    <x v="7"/>
    <s v="Account Manager"/>
    <s v="employees.1176@jogate.com"/>
    <x v="1"/>
    <d v="2021-05-19T00:00:00"/>
    <d v="2022-06-24T00:00:00"/>
    <n v="602"/>
    <m/>
    <n v="5"/>
    <x v="1"/>
    <m/>
  </r>
  <r>
    <x v="91"/>
    <x v="8"/>
    <s v="Production Worker"/>
    <s v="employees.1177@jogate.com"/>
    <x v="1"/>
    <d v="2021-05-21T00:00:00"/>
    <m/>
    <n v="800"/>
    <s v="JOG-1108"/>
    <n v="3"/>
    <x v="0"/>
    <m/>
  </r>
  <r>
    <x v="92"/>
    <x v="7"/>
    <s v="Regional Sales Manager"/>
    <s v="employees.1068@jogate.com"/>
    <x v="0"/>
    <d v="2021-05-23T00:00:00"/>
    <m/>
    <n v="976"/>
    <m/>
    <n v="5"/>
    <x v="0"/>
    <m/>
  </r>
  <r>
    <x v="93"/>
    <x v="8"/>
    <s v="Production Worker"/>
    <s v="employees.1196@jogate.com"/>
    <x v="0"/>
    <d v="2021-06-12T00:00:00"/>
    <m/>
    <n v="1709"/>
    <s v="JOG-1044"/>
    <n v="5"/>
    <x v="0"/>
    <m/>
  </r>
  <r>
    <x v="94"/>
    <x v="7"/>
    <s v="Regional Sales Manager"/>
    <s v="employees.1148@jogate.com"/>
    <x v="1"/>
    <d v="2021-07-11T00:00:00"/>
    <m/>
    <n v="639"/>
    <m/>
    <n v="5"/>
    <x v="0"/>
    <m/>
  </r>
  <r>
    <x v="95"/>
    <x v="7"/>
    <s v="Sales Associate"/>
    <s v="employees.1067@jogate.com"/>
    <x v="1"/>
    <d v="2021-07-18T00:00:00"/>
    <m/>
    <n v="1319"/>
    <s v="JOG-1187"/>
    <n v="2"/>
    <x v="0"/>
    <m/>
  </r>
  <r>
    <x v="96"/>
    <x v="2"/>
    <s v="Logistics Coordinator"/>
    <s v="employees.1023@jogate.com"/>
    <x v="1"/>
    <d v="2021-08-29T00:00:00"/>
    <m/>
    <n v="1222"/>
    <s v="JOG-1074"/>
    <n v="2"/>
    <x v="0"/>
    <m/>
  </r>
  <r>
    <x v="97"/>
    <x v="7"/>
    <s v="Account Manager"/>
    <s v="employees.1171@jogate.com"/>
    <x v="2"/>
    <d v="2021-09-05T00:00:00"/>
    <m/>
    <n v="323"/>
    <m/>
    <n v="5"/>
    <x v="0"/>
    <m/>
  </r>
  <r>
    <x v="98"/>
    <x v="1"/>
    <s v="Help Desk Specialist"/>
    <s v="employees.1139@jogate.com"/>
    <x v="2"/>
    <d v="2021-09-08T00:00:00"/>
    <m/>
    <n v="1186"/>
    <s v="JOG-1103"/>
    <n v="5"/>
    <x v="0"/>
    <m/>
  </r>
  <r>
    <x v="99"/>
    <x v="5"/>
    <s v="Marketing Coordinator"/>
    <s v="employees.1194@jogate.com"/>
    <x v="2"/>
    <d v="2021-09-08T00:00:00"/>
    <m/>
    <n v="533"/>
    <s v="JOG-1172"/>
    <n v="4"/>
    <x v="0"/>
    <m/>
  </r>
  <r>
    <x v="100"/>
    <x v="4"/>
    <s v="Qc Manager"/>
    <s v="employees.1170@jogate.com"/>
    <x v="0"/>
    <d v="2021-10-24T00:00:00"/>
    <m/>
    <n v="2049"/>
    <m/>
    <n v="2"/>
    <x v="0"/>
    <m/>
  </r>
  <r>
    <x v="101"/>
    <x v="3"/>
    <s v="Accountant"/>
    <s v="employees.1128@jogate.com"/>
    <x v="0"/>
    <d v="2021-11-07T00:00:00"/>
    <m/>
    <n v="1869"/>
    <s v="JOG-1007"/>
    <n v="2"/>
    <x v="0"/>
    <m/>
  </r>
  <r>
    <x v="102"/>
    <x v="7"/>
    <s v="Regional Sales Manager"/>
    <s v="employees.1091@jogate.com"/>
    <x v="1"/>
    <d v="2021-11-11T00:00:00"/>
    <m/>
    <n v="782"/>
    <m/>
    <n v="2"/>
    <x v="0"/>
    <m/>
  </r>
  <r>
    <x v="103"/>
    <x v="0"/>
    <s v="Scientist"/>
    <s v="employees.1197@jogate.com"/>
    <x v="1"/>
    <d v="2021-12-25T00:00:00"/>
    <m/>
    <n v="472"/>
    <s v="JOG-1182"/>
    <n v="5"/>
    <x v="0"/>
    <m/>
  </r>
  <r>
    <x v="104"/>
    <x v="4"/>
    <s v="Qc Inspector"/>
    <s v="employees.1118@jogate.com"/>
    <x v="2"/>
    <d v="2022-01-08T00:00:00"/>
    <m/>
    <n v="1403"/>
    <s v="JOG-1165"/>
    <n v="3"/>
    <x v="0"/>
    <m/>
  </r>
  <r>
    <x v="105"/>
    <x v="6"/>
    <s v="Recruiter"/>
    <s v="employees.1053@jogate.com"/>
    <x v="1"/>
    <d v="2022-02-10T00:00:00"/>
    <m/>
    <n v="979"/>
    <s v="JOG-1129"/>
    <n v="2"/>
    <x v="0"/>
    <m/>
  </r>
  <r>
    <x v="106"/>
    <x v="7"/>
    <s v="Sales Associate"/>
    <s v="employees.1043@jogate.com"/>
    <x v="0"/>
    <d v="2022-02-25T00:00:00"/>
    <d v="2024-05-01T00:00:00"/>
    <n v="612"/>
    <s v="JOG-1140"/>
    <n v="2"/>
    <x v="1"/>
    <m/>
  </r>
  <r>
    <x v="107"/>
    <x v="7"/>
    <s v="Regional Sales Manager"/>
    <s v="employees.1052@jogate.com"/>
    <x v="2"/>
    <d v="2022-03-10T00:00:00"/>
    <m/>
    <n v="2086"/>
    <m/>
    <n v="4"/>
    <x v="0"/>
    <m/>
  </r>
  <r>
    <x v="108"/>
    <x v="6"/>
    <s v="Hr Coordinator"/>
    <s v="employees.1045@jogate.com"/>
    <x v="1"/>
    <d v="2022-03-23T00:00:00"/>
    <m/>
    <n v="1811"/>
    <s v="JOG-1094"/>
    <n v="3"/>
    <x v="0"/>
    <m/>
  </r>
  <r>
    <x v="109"/>
    <x v="0"/>
    <s v="Research Lead"/>
    <s v="employee.1001@jogate.com"/>
    <x v="2"/>
    <d v="2022-04-17T00:00:00"/>
    <m/>
    <n v="892"/>
    <s v="JOG-1198"/>
    <n v="2"/>
    <x v="0"/>
    <m/>
  </r>
  <r>
    <x v="110"/>
    <x v="4"/>
    <s v="Qc Inspector"/>
    <s v="employees.1117@jogate.com"/>
    <x v="0"/>
    <d v="2022-05-02T00:00:00"/>
    <m/>
    <n v="436"/>
    <s v="JOG-1064"/>
    <n v="5"/>
    <x v="0"/>
    <m/>
  </r>
  <r>
    <x v="111"/>
    <x v="1"/>
    <s v="It Manager"/>
    <s v="employee.1003@jogate.com"/>
    <x v="2"/>
    <d v="2022-05-13T00:00:00"/>
    <m/>
    <n v="1627"/>
    <m/>
    <n v="3"/>
    <x v="0"/>
    <m/>
  </r>
  <r>
    <x v="112"/>
    <x v="0"/>
    <s v="Scientist"/>
    <s v="employees.1168@jogate.com"/>
    <x v="2"/>
    <d v="2022-05-24T00:00:00"/>
    <m/>
    <n v="1020"/>
    <s v="JOG-1050"/>
    <n v="5"/>
    <x v="0"/>
    <m/>
  </r>
  <r>
    <x v="113"/>
    <x v="0"/>
    <s v="Scientist"/>
    <s v="employees.1125@jogate.com"/>
    <x v="2"/>
    <d v="2022-05-31T00:00:00"/>
    <m/>
    <n v="299"/>
    <s v="JOG-1064"/>
    <n v="4"/>
    <x v="0"/>
    <m/>
  </r>
  <r>
    <x v="114"/>
    <x v="2"/>
    <s v="Logistics Coordinator"/>
    <s v="employees.1144@jogate.com"/>
    <x v="0"/>
    <d v="2022-06-19T00:00:00"/>
    <m/>
    <n v="1546"/>
    <s v="JOG-1182"/>
    <n v="4"/>
    <x v="0"/>
    <m/>
  </r>
  <r>
    <x v="115"/>
    <x v="2"/>
    <s v="Logistics Coordinator"/>
    <s v="employees.1186@jogate.com"/>
    <x v="1"/>
    <d v="2022-07-14T00:00:00"/>
    <m/>
    <n v="2090"/>
    <s v="JOG-1099"/>
    <n v="3"/>
    <x v="0"/>
    <m/>
  </r>
  <r>
    <x v="116"/>
    <x v="3"/>
    <s v="Accountant"/>
    <s v="employees.1156@jogate.com"/>
    <x v="0"/>
    <d v="2022-07-30T00:00:00"/>
    <d v="2024-08-17T00:00:00"/>
    <n v="1454"/>
    <s v="JOG-1029"/>
    <n v="4"/>
    <x v="1"/>
    <m/>
  </r>
  <r>
    <x v="117"/>
    <x v="4"/>
    <s v="Qc Manager"/>
    <s v="employees.1050@jogate.com"/>
    <x v="2"/>
    <d v="2022-09-04T00:00:00"/>
    <m/>
    <n v="1314"/>
    <m/>
    <n v="5"/>
    <x v="0"/>
    <m/>
  </r>
  <r>
    <x v="118"/>
    <x v="4"/>
    <s v="Qc Manager"/>
    <s v="employees.1174@jogate.com"/>
    <x v="2"/>
    <d v="2022-09-15T00:00:00"/>
    <m/>
    <n v="1080"/>
    <m/>
    <n v="5"/>
    <x v="0"/>
    <m/>
  </r>
  <r>
    <x v="119"/>
    <x v="5"/>
    <s v="Digital Marketer"/>
    <s v="employees.1001@jogate.com"/>
    <x v="0"/>
    <d v="2022-10-02T00:00:00"/>
    <m/>
    <n v="1436"/>
    <s v="JOG-1050"/>
    <n v="4"/>
    <x v="0"/>
    <m/>
  </r>
  <r>
    <x v="120"/>
    <x v="2"/>
    <s v="Logistics Coordinator"/>
    <s v="employees.1181@jogate.com"/>
    <x v="1"/>
    <d v="2022-10-09T00:00:00"/>
    <m/>
    <n v="1991"/>
    <s v="JOG-1030"/>
    <n v="4"/>
    <x v="0"/>
    <m/>
  </r>
  <r>
    <x v="121"/>
    <x v="1"/>
    <s v="It Technician"/>
    <s v="employees.1161@jogate.com"/>
    <x v="1"/>
    <d v="2022-11-03T00:00:00"/>
    <m/>
    <n v="1944"/>
    <s v="JOG-1060"/>
    <n v="5"/>
    <x v="0"/>
    <m/>
  </r>
  <r>
    <x v="122"/>
    <x v="2"/>
    <s v="Warehouse Associate"/>
    <s v="employees.1032@jogate.com"/>
    <x v="2"/>
    <d v="2022-11-05T00:00:00"/>
    <m/>
    <n v="763"/>
    <s v="JOG-1178"/>
    <n v="4"/>
    <x v="0"/>
    <m/>
  </r>
  <r>
    <x v="123"/>
    <x v="7"/>
    <s v="Regional Sales Manager"/>
    <s v="employees.1064@jogate.com"/>
    <x v="1"/>
    <d v="2022-11-14T00:00:00"/>
    <d v="2025-10-25T00:00:00"/>
    <n v="286"/>
    <m/>
    <n v="4"/>
    <x v="1"/>
    <m/>
  </r>
  <r>
    <x v="124"/>
    <x v="5"/>
    <s v="Digital Marketer"/>
    <s v="employees.1185@jogate.com"/>
    <x v="2"/>
    <d v="2022-11-19T00:00:00"/>
    <m/>
    <n v="1500"/>
    <s v="JOG-1043"/>
    <n v="5"/>
    <x v="0"/>
    <m/>
  </r>
  <r>
    <x v="125"/>
    <x v="2"/>
    <s v="Warehouse Associate"/>
    <s v="employees.1070@jogate.com"/>
    <x v="1"/>
    <d v="2022-11-20T00:00:00"/>
    <m/>
    <n v="784"/>
    <s v="JOG-1120"/>
    <n v="4"/>
    <x v="0"/>
    <m/>
  </r>
  <r>
    <x v="126"/>
    <x v="5"/>
    <s v="Marketing Manager"/>
    <s v="employees.1187@jogate.com"/>
    <x v="0"/>
    <d v="2022-11-20T00:00:00"/>
    <m/>
    <n v="1400"/>
    <m/>
    <n v="4"/>
    <x v="0"/>
    <m/>
  </r>
  <r>
    <x v="127"/>
    <x v="6"/>
    <s v="Recruiter"/>
    <s v="employees.1157@jogate.com"/>
    <x v="1"/>
    <d v="2022-12-30T00:00:00"/>
    <d v="2028-05-04T00:00:00"/>
    <n v="448"/>
    <s v="JOG-1104"/>
    <n v="4"/>
    <x v="1"/>
    <m/>
  </r>
  <r>
    <x v="128"/>
    <x v="8"/>
    <s v="Production Worker"/>
    <s v="employees.1100@jogate.com"/>
    <x v="2"/>
    <d v="2023-01-16T00:00:00"/>
    <m/>
    <n v="704"/>
    <s v="JOG-1030"/>
    <n v="5"/>
    <x v="0"/>
    <m/>
  </r>
  <r>
    <x v="129"/>
    <x v="2"/>
    <s v="Warehouse Associate"/>
    <s v="employees.1053@jogate.com"/>
    <x v="1"/>
    <d v="2023-01-19T00:00:00"/>
    <d v="2024-01-30T00:00:00"/>
    <n v="1507"/>
    <s v="JOG-1007"/>
    <n v="2"/>
    <x v="1"/>
    <m/>
  </r>
  <r>
    <x v="130"/>
    <x v="4"/>
    <s v="Qc Inspector"/>
    <s v="employees.1195@jogate.com"/>
    <x v="2"/>
    <d v="2023-01-30T00:00:00"/>
    <m/>
    <n v="1593"/>
    <s v="JOG-1099"/>
    <n v="3"/>
    <x v="0"/>
    <m/>
  </r>
  <r>
    <x v="131"/>
    <x v="6"/>
    <s v="Hr Generalist"/>
    <s v="employee.1002@jogate.com"/>
    <x v="1"/>
    <d v="2023-02-07T00:00:00"/>
    <m/>
    <n v="421"/>
    <s v="JOG-1068"/>
    <n v="2"/>
    <x v="0"/>
    <m/>
  </r>
  <r>
    <x v="132"/>
    <x v="4"/>
    <s v="Qc Inspector"/>
    <s v="employees.1085@jogate.com"/>
    <x v="1"/>
    <d v="2023-03-08T00:00:00"/>
    <m/>
    <n v="628"/>
    <s v="JOG-1082"/>
    <n v="5"/>
    <x v="0"/>
    <m/>
  </r>
  <r>
    <x v="133"/>
    <x v="0"/>
    <s v="Research Lead"/>
    <s v="employees.1094@jogate.com"/>
    <x v="1"/>
    <d v="2023-04-02T00:00:00"/>
    <m/>
    <n v="1773"/>
    <s v="JOG-1107"/>
    <n v="5"/>
    <x v="0"/>
    <m/>
  </r>
  <r>
    <x v="134"/>
    <x v="2"/>
    <s v="Logistics Coordinator"/>
    <s v="employees.1081@jogate.com"/>
    <x v="2"/>
    <d v="2023-04-12T00:00:00"/>
    <d v="2025-03-25T00:00:00"/>
    <n v="648"/>
    <s v="JOG-1144"/>
    <n v="4"/>
    <x v="1"/>
    <m/>
  </r>
  <r>
    <x v="135"/>
    <x v="8"/>
    <s v="Line Supervisor"/>
    <s v="employees.1184@jogate.com"/>
    <x v="1"/>
    <d v="2023-04-22T00:00:00"/>
    <m/>
    <n v="423"/>
    <s v="JOG-1030"/>
    <n v="4"/>
    <x v="0"/>
    <m/>
  </r>
  <r>
    <x v="136"/>
    <x v="5"/>
    <s v="Digital Marketer"/>
    <s v="employees.1087@jogate.com"/>
    <x v="0"/>
    <d v="2023-05-12T00:00:00"/>
    <d v="2024-05-25T00:00:00"/>
    <n v="761"/>
    <s v="JOG-1164"/>
    <n v="3"/>
    <x v="1"/>
    <m/>
  </r>
  <r>
    <x v="137"/>
    <x v="4"/>
    <s v="Qc Manager"/>
    <s v="employees.1004@jogate.com"/>
    <x v="0"/>
    <d v="2023-05-26T00:00:00"/>
    <d v="2024-10-18T00:00:00"/>
    <n v="870"/>
    <m/>
    <n v="3"/>
    <x v="1"/>
    <m/>
  </r>
  <r>
    <x v="138"/>
    <x v="0"/>
    <s v="Lab Technician"/>
    <s v="employees.1175@jogate.com"/>
    <x v="1"/>
    <d v="2023-06-01T00:00:00"/>
    <m/>
    <n v="1651"/>
    <s v="JOG-1104"/>
    <n v="3"/>
    <x v="0"/>
    <m/>
  </r>
  <r>
    <x v="139"/>
    <x v="4"/>
    <s v="Qc Inspector"/>
    <s v="employees.1191@jogate.com"/>
    <x v="2"/>
    <d v="2023-06-20T00:00:00"/>
    <m/>
    <n v="1124"/>
    <s v="JOG-1094"/>
    <n v="3"/>
    <x v="0"/>
    <m/>
  </r>
  <r>
    <x v="140"/>
    <x v="7"/>
    <s v="Sales Associate"/>
    <s v="employees.1146@jogate.com"/>
    <x v="1"/>
    <d v="2023-07-02T00:00:00"/>
    <m/>
    <n v="1595"/>
    <s v="JOG-1043"/>
    <n v="3"/>
    <x v="0"/>
    <m/>
  </r>
  <r>
    <x v="141"/>
    <x v="0"/>
    <s v="Lab Technician"/>
    <s v="employees.1158@jogate.com"/>
    <x v="1"/>
    <d v="2023-07-03T00:00:00"/>
    <d v="2024-01-07T00:00:00"/>
    <n v="312"/>
    <s v="JOG-1064"/>
    <n v="2"/>
    <x v="1"/>
    <m/>
  </r>
  <r>
    <x v="142"/>
    <x v="1"/>
    <s v="It Technician"/>
    <s v="employees.1145@jogate.com"/>
    <x v="2"/>
    <d v="2023-08-21T00:00:00"/>
    <m/>
    <n v="746"/>
    <s v="JOG-1136"/>
    <n v="4"/>
    <x v="0"/>
    <m/>
  </r>
  <r>
    <x v="143"/>
    <x v="4"/>
    <s v="Qc Inspector"/>
    <s v="employees.1151@jogate.com"/>
    <x v="0"/>
    <d v="2023-08-24T00:00:00"/>
    <m/>
    <n v="1007"/>
    <s v="JOG-1027"/>
    <n v="2"/>
    <x v="0"/>
    <m/>
  </r>
  <r>
    <x v="144"/>
    <x v="6"/>
    <s v="Hr Generalist"/>
    <s v="employees.1061@jogate.com"/>
    <x v="0"/>
    <d v="2023-09-05T00:00:00"/>
    <m/>
    <n v="1827"/>
    <s v="JOG-1148"/>
    <n v="5"/>
    <x v="0"/>
    <m/>
  </r>
  <r>
    <x v="145"/>
    <x v="1"/>
    <s v="It Manager"/>
    <s v="employees.1095@jogate.com"/>
    <x v="1"/>
    <d v="2023-09-12T00:00:00"/>
    <m/>
    <n v="1711"/>
    <m/>
    <n v="2"/>
    <x v="0"/>
    <m/>
  </r>
  <r>
    <x v="146"/>
    <x v="3"/>
    <s v="Financial Analyst"/>
    <s v="employees.1132@jogate.com"/>
    <x v="2"/>
    <d v="2023-09-24T00:00:00"/>
    <m/>
    <n v="1207"/>
    <s v="JOG-1064"/>
    <n v="2"/>
    <x v="0"/>
    <m/>
  </r>
  <r>
    <x v="147"/>
    <x v="3"/>
    <s v="Accountant"/>
    <s v="employees.1128@jogate.com"/>
    <x v="2"/>
    <d v="2023-09-29T00:00:00"/>
    <m/>
    <n v="502"/>
    <s v="JOG-1068"/>
    <n v="2"/>
    <x v="0"/>
    <m/>
  </r>
  <r>
    <x v="148"/>
    <x v="6"/>
    <s v="Recruiter"/>
    <s v="employees.1096@jogate.com"/>
    <x v="0"/>
    <d v="2023-10-13T00:00:00"/>
    <d v="2028-12-05T00:00:00"/>
    <n v="525"/>
    <s v="JOG-1099"/>
    <n v="4"/>
    <x v="1"/>
    <m/>
  </r>
  <r>
    <x v="149"/>
    <x v="7"/>
    <s v="Account Manager"/>
    <s v="employees.1198@jogate.com"/>
    <x v="0"/>
    <d v="2023-10-17T00:00:00"/>
    <m/>
    <n v="775"/>
    <m/>
    <n v="5"/>
    <x v="0"/>
    <m/>
  </r>
  <r>
    <x v="150"/>
    <x v="3"/>
    <s v="Accountant"/>
    <s v="employees.1115@jogate.com"/>
    <x v="0"/>
    <d v="2023-10-20T00:00:00"/>
    <m/>
    <n v="2077"/>
    <s v="JOG-1176"/>
    <n v="4"/>
    <x v="0"/>
    <m/>
  </r>
  <r>
    <x v="151"/>
    <x v="8"/>
    <s v="Production Worker"/>
    <s v="employees.1130@jogate.com"/>
    <x v="1"/>
    <d v="2023-11-01T00:00:00"/>
    <d v="2029-01-15T00:00:00"/>
    <n v="1423"/>
    <s v="JOG-1114"/>
    <n v="5"/>
    <x v="1"/>
    <m/>
  </r>
  <r>
    <x v="152"/>
    <x v="5"/>
    <s v="Marketing Manager"/>
    <s v="employees.1197@jogate.com"/>
    <x v="2"/>
    <d v="2023-11-06T00:00:00"/>
    <d v="2025-05-06T00:00:00"/>
    <n v="397"/>
    <m/>
    <n v="3"/>
    <x v="1"/>
    <m/>
  </r>
  <r>
    <x v="153"/>
    <x v="1"/>
    <s v="Help Desk Specialist"/>
    <s v="employees.1190@jogate.com"/>
    <x v="0"/>
    <d v="2023-12-01T00:00:00"/>
    <m/>
    <n v="973"/>
    <s v="JOG-1099"/>
    <n v="2"/>
    <x v="0"/>
    <m/>
  </r>
  <r>
    <x v="154"/>
    <x v="6"/>
    <s v="Hr Coordinator"/>
    <s v="employees.1080@jogate.com"/>
    <x v="1"/>
    <d v="2023-12-22T00:00:00"/>
    <m/>
    <n v="831"/>
    <s v="JOG-1178"/>
    <n v="4"/>
    <x v="0"/>
    <m/>
  </r>
  <r>
    <x v="155"/>
    <x v="0"/>
    <s v="Lab Technician"/>
    <s v="employees.1063@jogate.com"/>
    <x v="0"/>
    <d v="2023-12-30T00:00:00"/>
    <m/>
    <n v="910"/>
    <s v="JOG-1173"/>
    <n v="2"/>
    <x v="0"/>
    <m/>
  </r>
  <r>
    <x v="156"/>
    <x v="8"/>
    <s v="Production Worker"/>
    <s v="employees.1119@jogate.com"/>
    <x v="1"/>
    <d v="2024-02-04T00:00:00"/>
    <m/>
    <n v="1522"/>
    <s v="JOG-1114"/>
    <n v="5"/>
    <x v="0"/>
    <m/>
  </r>
  <r>
    <x v="157"/>
    <x v="5"/>
    <s v="Digital Marketer"/>
    <s v="employees.1065@jogate.com"/>
    <x v="1"/>
    <d v="2024-02-14T00:00:00"/>
    <m/>
    <n v="956"/>
    <s v="JOG-1064"/>
    <n v="3"/>
    <x v="0"/>
    <m/>
  </r>
  <r>
    <x v="158"/>
    <x v="8"/>
    <s v="Operations Manager"/>
    <s v="employees.1136@jogate.com"/>
    <x v="1"/>
    <d v="2024-02-28T00:00:00"/>
    <m/>
    <n v="625"/>
    <m/>
    <n v="2"/>
    <x v="0"/>
    <m/>
  </r>
  <r>
    <x v="159"/>
    <x v="4"/>
    <s v="Qc Inspector"/>
    <s v="employees.1069@jogate.com"/>
    <x v="1"/>
    <d v="2024-03-03T00:00:00"/>
    <m/>
    <n v="678"/>
    <s v="JOG-1136"/>
    <n v="4"/>
    <x v="0"/>
    <m/>
  </r>
  <r>
    <x v="160"/>
    <x v="4"/>
    <s v="Qc Inspector"/>
    <s v="employees.1200@jogate.com"/>
    <x v="1"/>
    <d v="2024-03-05T00:00:00"/>
    <m/>
    <n v="1658"/>
    <s v="JOG-1050"/>
    <n v="3"/>
    <x v="0"/>
    <m/>
  </r>
  <r>
    <x v="161"/>
    <x v="3"/>
    <s v="Financial Analyst"/>
    <s v="employees.1133@jogate.com"/>
    <x v="1"/>
    <d v="2024-03-17T00:00:00"/>
    <m/>
    <n v="1405"/>
    <s v="JOG-1001"/>
    <n v="2"/>
    <x v="0"/>
    <m/>
  </r>
  <r>
    <x v="162"/>
    <x v="4"/>
    <s v="Qc Inspector"/>
    <s v="employees.1134@jogate.com"/>
    <x v="1"/>
    <d v="2024-03-20T00:00:00"/>
    <d v="2025-07-05T00:00:00"/>
    <n v="1411"/>
    <s v="JOG-1120"/>
    <n v="2"/>
    <x v="1"/>
    <m/>
  </r>
  <r>
    <x v="163"/>
    <x v="6"/>
    <s v="Hr Generalist"/>
    <s v="employees.1135@jogate.com"/>
    <x v="0"/>
    <d v="2024-03-25T00:00:00"/>
    <m/>
    <n v="985"/>
    <s v="JOG-1095"/>
    <n v="5"/>
    <x v="0"/>
    <m/>
  </r>
  <r>
    <x v="164"/>
    <x v="1"/>
    <s v="Help Desk Specialist"/>
    <s v="employees.1005@jogate.com"/>
    <x v="1"/>
    <d v="2024-04-04T00:00:00"/>
    <d v="2028-08-27T00:00:00"/>
    <n v="302"/>
    <s v="JOG-1001"/>
    <n v="2"/>
    <x v="1"/>
    <m/>
  </r>
  <r>
    <x v="165"/>
    <x v="0"/>
    <s v="Research Lead"/>
    <s v="employees.1008@jogate.com"/>
    <x v="1"/>
    <d v="2024-04-17T00:00:00"/>
    <m/>
    <n v="735"/>
    <s v="JOG-1173"/>
    <n v="3"/>
    <x v="0"/>
    <m/>
  </r>
  <r>
    <x v="166"/>
    <x v="2"/>
    <s v="Warehouse Associate"/>
    <s v="employees.1010@jogate.com"/>
    <x v="1"/>
    <d v="2024-04-29T00:00:00"/>
    <m/>
    <n v="1699"/>
    <s v="JOG-1091"/>
    <n v="2"/>
    <x v="0"/>
    <m/>
  </r>
  <r>
    <x v="167"/>
    <x v="7"/>
    <s v="Sales Associate"/>
    <s v="employees.1093@jogate.com"/>
    <x v="1"/>
    <d v="2024-05-05T00:00:00"/>
    <m/>
    <n v="404"/>
    <s v="JOG-1029"/>
    <n v="2"/>
    <x v="0"/>
    <m/>
  </r>
  <r>
    <x v="168"/>
    <x v="2"/>
    <s v="Logistics Coordinator"/>
    <s v="employees.1034@jogate.com"/>
    <x v="1"/>
    <d v="2024-05-09T00:00:00"/>
    <m/>
    <n v="1820"/>
    <s v="JOG-1148"/>
    <n v="2"/>
    <x v="0"/>
    <m/>
  </r>
  <r>
    <x v="169"/>
    <x v="6"/>
    <s v="Recruiter"/>
    <s v="employees.1178@jogate.com"/>
    <x v="1"/>
    <d v="2024-05-25T00:00:00"/>
    <m/>
    <n v="523"/>
    <s v="JOG-1148"/>
    <n v="3"/>
    <x v="0"/>
    <m/>
  </r>
  <r>
    <x v="170"/>
    <x v="1"/>
    <s v="It Manager"/>
    <s v="employees.1044@jogate.com"/>
    <x v="1"/>
    <d v="2024-06-11T00:00:00"/>
    <m/>
    <n v="1687"/>
    <m/>
    <n v="5"/>
    <x v="0"/>
    <m/>
  </r>
  <r>
    <x v="171"/>
    <x v="1"/>
    <s v="It Manager"/>
    <s v="employees.1183@jogate.com"/>
    <x v="2"/>
    <d v="2024-06-11T00:00:00"/>
    <m/>
    <n v="1867"/>
    <m/>
    <n v="5"/>
    <x v="0"/>
    <m/>
  </r>
  <r>
    <x v="172"/>
    <x v="8"/>
    <s v="Line Supervisor"/>
    <s v="employees.1098@jogate.com"/>
    <x v="1"/>
    <d v="2024-06-20T00:00:00"/>
    <m/>
    <n v="506"/>
    <s v="JOG-1108"/>
    <n v="2"/>
    <x v="0"/>
    <m/>
  </r>
  <r>
    <x v="173"/>
    <x v="4"/>
    <s v="Qc Manager"/>
    <s v="employees.1089@jogate.com"/>
    <x v="0"/>
    <d v="2024-06-29T00:00:00"/>
    <m/>
    <n v="1182"/>
    <m/>
    <n v="3"/>
    <x v="0"/>
    <m/>
  </r>
  <r>
    <x v="174"/>
    <x v="4"/>
    <s v="Qc Manager"/>
    <s v="employees.1020@jogate.com"/>
    <x v="1"/>
    <d v="2024-07-19T00:00:00"/>
    <d v="2029-07-13T00:00:00"/>
    <n v="1907"/>
    <m/>
    <n v="4"/>
    <x v="1"/>
    <m/>
  </r>
  <r>
    <x v="175"/>
    <x v="3"/>
    <s v="Accountant"/>
    <s v="employees.1127@jogate.com"/>
    <x v="0"/>
    <d v="2024-07-30T00:00:00"/>
    <m/>
    <n v="498"/>
    <s v="JOG-1198"/>
    <n v="2"/>
    <x v="0"/>
    <m/>
  </r>
  <r>
    <x v="176"/>
    <x v="7"/>
    <s v="Sales Associate"/>
    <s v="employees.1180@jogate.com"/>
    <x v="2"/>
    <d v="2024-08-08T00:00:00"/>
    <m/>
    <n v="1056"/>
    <s v="JOG-1038"/>
    <n v="2"/>
    <x v="0"/>
    <m/>
  </r>
  <r>
    <x v="177"/>
    <x v="2"/>
    <s v="Warehouse Associate"/>
    <s v="employees.1072@jogate.com"/>
    <x v="0"/>
    <d v="2024-08-11T00:00:00"/>
    <d v="2025-05-08T00:00:00"/>
    <n v="720"/>
    <s v="JOG-1030"/>
    <n v="3"/>
    <x v="1"/>
    <m/>
  </r>
  <r>
    <x v="178"/>
    <x v="1"/>
    <s v="Help Desk Specialist"/>
    <s v="employees.1147@jogate.com"/>
    <x v="2"/>
    <d v="2024-09-14T00:00:00"/>
    <m/>
    <n v="1886"/>
    <s v="JOG-1198"/>
    <n v="5"/>
    <x v="0"/>
    <m/>
  </r>
  <r>
    <x v="179"/>
    <x v="1"/>
    <s v="It Technician"/>
    <s v="employees.1143@jogate.com"/>
    <x v="2"/>
    <d v="2024-10-16T00:00:00"/>
    <m/>
    <n v="529"/>
    <s v="JOG-1094"/>
    <n v="3"/>
    <x v="0"/>
    <m/>
  </r>
  <r>
    <x v="180"/>
    <x v="8"/>
    <s v="Operations Manager"/>
    <s v="employees.1097@jogate.com"/>
    <x v="0"/>
    <d v="2024-10-19T00:00:00"/>
    <m/>
    <n v="1787"/>
    <m/>
    <n v="5"/>
    <x v="0"/>
    <m/>
  </r>
  <r>
    <x v="181"/>
    <x v="0"/>
    <s v="Research Lead"/>
    <s v="employees.1091@jogate.com"/>
    <x v="1"/>
    <d v="2024-11-30T00:00:00"/>
    <m/>
    <n v="1711"/>
    <s v="JOG-1165"/>
    <n v="5"/>
    <x v="0"/>
    <m/>
  </r>
  <r>
    <x v="182"/>
    <x v="6"/>
    <s v="Hr Generalist"/>
    <s v="employees.1165@jogate.com"/>
    <x v="1"/>
    <d v="2025-02-16T00:00:00"/>
    <m/>
    <n v="352"/>
    <s v="JOG-1198"/>
    <n v="3"/>
    <x v="0"/>
    <m/>
  </r>
  <r>
    <x v="183"/>
    <x v="0"/>
    <s v="Scientist"/>
    <s v="employees.1188@jogate.com"/>
    <x v="0"/>
    <d v="2025-03-15T00:00:00"/>
    <m/>
    <n v="1471"/>
    <s v="JOG-1050"/>
    <n v="5"/>
    <x v="0"/>
    <m/>
  </r>
  <r>
    <x v="184"/>
    <x v="8"/>
    <s v="Line Supervisor"/>
    <s v="employees.1088@jogate.com"/>
    <x v="1"/>
    <d v="2025-04-03T00:00:00"/>
    <m/>
    <n v="915"/>
    <s v="JOG-1064"/>
    <n v="5"/>
    <x v="0"/>
    <m/>
  </r>
  <r>
    <x v="185"/>
    <x v="0"/>
    <s v="Research Lead"/>
    <s v="employees.1120@jogate.com"/>
    <x v="2"/>
    <d v="2025-04-04T00:00:00"/>
    <m/>
    <n v="1919"/>
    <s v="JOG-1064"/>
    <n v="3"/>
    <x v="0"/>
    <m/>
  </r>
  <r>
    <x v="186"/>
    <x v="3"/>
    <s v="Accountant"/>
    <s v="employees.1051@jogate.com"/>
    <x v="2"/>
    <d v="2025-04-07T00:00:00"/>
    <m/>
    <n v="1192"/>
    <s v="JOG-1187"/>
    <n v="4"/>
    <x v="0"/>
    <m/>
  </r>
  <r>
    <x v="187"/>
    <x v="7"/>
    <s v="Account Manager"/>
    <s v="employees.1040@jogate.com"/>
    <x v="0"/>
    <d v="2025-04-20T00:00:00"/>
    <m/>
    <n v="1144"/>
    <m/>
    <n v="3"/>
    <x v="0"/>
    <m/>
  </r>
  <r>
    <x v="188"/>
    <x v="3"/>
    <s v="Accountant"/>
    <s v="employees.1013@jogate.com"/>
    <x v="1"/>
    <d v="2025-04-23T00:00:00"/>
    <m/>
    <n v="1524"/>
    <s v="JOG-1094"/>
    <n v="3"/>
    <x v="0"/>
    <m/>
  </r>
  <r>
    <x v="189"/>
    <x v="3"/>
    <s v="Financial Analyst"/>
    <s v="employees.1118@jogate.com"/>
    <x v="0"/>
    <d v="2025-04-24T00:00:00"/>
    <m/>
    <n v="1985"/>
    <s v="JOG-1082"/>
    <n v="3"/>
    <x v="0"/>
    <m/>
  </r>
  <r>
    <x v="190"/>
    <x v="8"/>
    <s v="Production Worker"/>
    <s v="employees.1090@jogate.com"/>
    <x v="1"/>
    <d v="2025-04-26T00:00:00"/>
    <d v="2028-02-26T00:00:00"/>
    <n v="1097"/>
    <s v="JOG-1120"/>
    <n v="2"/>
    <x v="1"/>
    <m/>
  </r>
  <r>
    <x v="191"/>
    <x v="4"/>
    <s v="Qc Inspector"/>
    <s v="employees.1049@jogate.com"/>
    <x v="1"/>
    <d v="2025-05-08T00:00:00"/>
    <m/>
    <n v="1798"/>
    <s v="JOG-1192"/>
    <n v="2"/>
    <x v="0"/>
    <m/>
  </r>
  <r>
    <x v="192"/>
    <x v="6"/>
    <s v="Hr Generalist"/>
    <s v="employees.1121@jogate.com"/>
    <x v="1"/>
    <d v="2025-05-28T00:00:00"/>
    <m/>
    <n v="1677"/>
    <s v="JOG-1048"/>
    <n v="4"/>
    <x v="0"/>
    <m/>
  </r>
  <r>
    <x v="193"/>
    <x v="3"/>
    <s v="Accountant"/>
    <s v="employees.1086@jogate.com"/>
    <x v="0"/>
    <d v="2025-06-23T00:00:00"/>
    <m/>
    <n v="1699"/>
    <s v="JOG-1165"/>
    <n v="2"/>
    <x v="0"/>
    <m/>
  </r>
  <r>
    <x v="194"/>
    <x v="8"/>
    <s v="Operations Manager"/>
    <s v="employees.1129@jogate.com"/>
    <x v="0"/>
    <d v="2025-08-01T00:00:00"/>
    <m/>
    <n v="1570"/>
    <m/>
    <n v="5"/>
    <x v="0"/>
    <m/>
  </r>
  <r>
    <x v="195"/>
    <x v="6"/>
    <s v="Recruiter"/>
    <s v="employees.1112@jogate.com"/>
    <x v="0"/>
    <d v="2025-08-02T00:00:00"/>
    <m/>
    <n v="2027"/>
    <s v="JOG-1140"/>
    <n v="5"/>
    <x v="0"/>
    <m/>
  </r>
  <r>
    <x v="196"/>
    <x v="6"/>
    <s v="Hr Generalist"/>
    <s v="employees.1092@jogate.com"/>
    <x v="0"/>
    <d v="2025-09-12T00:00:00"/>
    <m/>
    <n v="1456"/>
    <s v="JOG-1097"/>
    <n v="4"/>
    <x v="0"/>
    <m/>
  </r>
  <r>
    <x v="197"/>
    <x v="6"/>
    <s v="Hr Generalist"/>
    <s v="employees.1071@jogate.com"/>
    <x v="0"/>
    <d v="2025-10-10T00:00:00"/>
    <d v="2030-01-18T00:00:00"/>
    <n v="593"/>
    <s v="JOG-1140"/>
    <n v="2"/>
    <x v="1"/>
    <m/>
  </r>
  <r>
    <x v="198"/>
    <x v="3"/>
    <s v="Accountant"/>
    <s v="employees.1124@jogate.com"/>
    <x v="0"/>
    <d v="2025-10-13T00:00:00"/>
    <m/>
    <n v="1350"/>
    <s v="JOG-1104"/>
    <n v="3"/>
    <x v="0"/>
    <m/>
  </r>
  <r>
    <x v="199"/>
    <x v="1"/>
    <s v="Help Desk Specialist"/>
    <s v="employees.1179@jogate.com"/>
    <x v="2"/>
    <d v="2025-10-16T00:00:00"/>
    <m/>
    <n v="1153"/>
    <s v="JOG-1027"/>
    <n v="4"/>
    <x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BB2E7-AD24-456C-BCF5-430EDA9D80C1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N16:R27" firstHeaderRow="1" firstDataRow="2" firstDataCol="1" rowPageCount="1" colPageCount="1"/>
  <pivotFields count="12">
    <pivotField dataField="1" showAll="0">
      <items count="201">
        <item x="109"/>
        <item x="131"/>
        <item x="111"/>
        <item x="137"/>
        <item x="75"/>
        <item x="145"/>
        <item x="63"/>
        <item x="107"/>
        <item x="72"/>
        <item x="166"/>
        <item x="76"/>
        <item x="151"/>
        <item x="188"/>
        <item x="3"/>
        <item x="114"/>
        <item x="85"/>
        <item x="60"/>
        <item x="116"/>
        <item x="118"/>
        <item x="26"/>
        <item x="163"/>
        <item x="106"/>
        <item x="110"/>
        <item x="23"/>
        <item x="142"/>
        <item x="196"/>
        <item x="174"/>
        <item x="57"/>
        <item x="158"/>
        <item x="32"/>
        <item x="27"/>
        <item x="122"/>
        <item x="1"/>
        <item x="168"/>
        <item x="167"/>
        <item x="162"/>
        <item x="178"/>
        <item x="43"/>
        <item x="51"/>
        <item x="187"/>
        <item x="86"/>
        <item x="115"/>
        <item x="21"/>
        <item x="170"/>
        <item x="108"/>
        <item x="61"/>
        <item x="69"/>
        <item x="31"/>
        <item x="191"/>
        <item x="117"/>
        <item x="186"/>
        <item x="7"/>
        <item x="105"/>
        <item x="33"/>
        <item x="184"/>
        <item x="141"/>
        <item x="169"/>
        <item x="30"/>
        <item x="195"/>
        <item x="173"/>
        <item x="144"/>
        <item x="79"/>
        <item x="155"/>
        <item x="123"/>
        <item x="157"/>
        <item x="53"/>
        <item x="95"/>
        <item x="92"/>
        <item x="159"/>
        <item x="125"/>
        <item x="197"/>
        <item x="177"/>
        <item x="19"/>
        <item x="100"/>
        <item x="182"/>
        <item x="164"/>
        <item x="78"/>
        <item x="64"/>
        <item x="68"/>
        <item x="154"/>
        <item x="134"/>
        <item x="65"/>
        <item x="83"/>
        <item x="13"/>
        <item x="132"/>
        <item x="193"/>
        <item x="136"/>
        <item x="54"/>
        <item x="59"/>
        <item x="190"/>
        <item x="102"/>
        <item x="25"/>
        <item x="34"/>
        <item x="133"/>
        <item x="5"/>
        <item x="148"/>
        <item x="180"/>
        <item x="172"/>
        <item x="37"/>
        <item x="128"/>
        <item x="44"/>
        <item x="147"/>
        <item x="181"/>
        <item x="152"/>
        <item x="189"/>
        <item x="129"/>
        <item x="15"/>
        <item x="165"/>
        <item x="82"/>
        <item x="119"/>
        <item x="96"/>
        <item x="58"/>
        <item x="46"/>
        <item x="87"/>
        <item x="150"/>
        <item x="39"/>
        <item x="22"/>
        <item x="104"/>
        <item x="156"/>
        <item x="185"/>
        <item x="192"/>
        <item x="4"/>
        <item x="16"/>
        <item x="198"/>
        <item x="113"/>
        <item x="45"/>
        <item x="175"/>
        <item x="101"/>
        <item x="194"/>
        <item x="11"/>
        <item x="6"/>
        <item x="146"/>
        <item x="161"/>
        <item x="35"/>
        <item x="20"/>
        <item x="28"/>
        <item x="50"/>
        <item x="40"/>
        <item x="98"/>
        <item x="38"/>
        <item x="88"/>
        <item x="89"/>
        <item x="179"/>
        <item x="14"/>
        <item x="24"/>
        <item x="140"/>
        <item x="36"/>
        <item x="94"/>
        <item x="70"/>
        <item x="66"/>
        <item x="143"/>
        <item x="29"/>
        <item x="80"/>
        <item x="84"/>
        <item x="12"/>
        <item x="17"/>
        <item x="127"/>
        <item x="55"/>
        <item x="0"/>
        <item x="81"/>
        <item x="121"/>
        <item x="71"/>
        <item x="2"/>
        <item x="67"/>
        <item x="74"/>
        <item x="48"/>
        <item x="47"/>
        <item x="112"/>
        <item x="42"/>
        <item x="73"/>
        <item x="97"/>
        <item x="9"/>
        <item x="49"/>
        <item x="18"/>
        <item x="138"/>
        <item x="90"/>
        <item x="91"/>
        <item x="56"/>
        <item x="199"/>
        <item x="176"/>
        <item x="120"/>
        <item x="8"/>
        <item x="171"/>
        <item x="135"/>
        <item x="124"/>
        <item x="41"/>
        <item x="126"/>
        <item x="183"/>
        <item x="62"/>
        <item x="153"/>
        <item x="139"/>
        <item x="10"/>
        <item x="77"/>
        <item x="99"/>
        <item x="130"/>
        <item x="93"/>
        <item x="103"/>
        <item x="149"/>
        <item x="52"/>
        <item x="160"/>
        <item t="default"/>
      </items>
    </pivotField>
    <pivotField axis="axisRow" showAll="0">
      <items count="10">
        <item x="3"/>
        <item sd="0" x="6"/>
        <item x="1"/>
        <item x="2"/>
        <item x="5"/>
        <item x="8"/>
        <item x="4"/>
        <item x="0"/>
        <item x="7"/>
        <item t="default"/>
      </items>
    </pivotField>
    <pivotField showAll="0"/>
    <pivotField showAll="0"/>
    <pivotField axis="axisCol"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pageFields count="1">
    <pageField fld="10" hier="-1"/>
  </pageFields>
  <dataFields count="1">
    <dataField name="Count of EmployeeID" fld="0" subtotal="count" baseField="0" baseItem="0"/>
  </dataFields>
  <chartFormats count="1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A86C09-9387-4354-9351-97CFAA015838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N16:O26" firstHeaderRow="1" firstDataRow="1" firstDataCol="1"/>
  <pivotFields count="12">
    <pivotField showAll="0">
      <items count="201">
        <item x="109"/>
        <item x="131"/>
        <item x="111"/>
        <item x="137"/>
        <item x="75"/>
        <item x="145"/>
        <item x="63"/>
        <item x="107"/>
        <item x="72"/>
        <item x="166"/>
        <item x="76"/>
        <item x="151"/>
        <item x="188"/>
        <item x="3"/>
        <item x="114"/>
        <item x="85"/>
        <item x="60"/>
        <item x="116"/>
        <item x="118"/>
        <item x="26"/>
        <item x="163"/>
        <item x="106"/>
        <item x="110"/>
        <item x="23"/>
        <item x="142"/>
        <item x="196"/>
        <item x="174"/>
        <item x="57"/>
        <item x="158"/>
        <item x="32"/>
        <item x="27"/>
        <item x="122"/>
        <item x="1"/>
        <item x="168"/>
        <item x="167"/>
        <item x="162"/>
        <item x="178"/>
        <item x="43"/>
        <item x="51"/>
        <item x="187"/>
        <item x="86"/>
        <item x="115"/>
        <item x="21"/>
        <item x="170"/>
        <item x="108"/>
        <item x="61"/>
        <item x="69"/>
        <item x="31"/>
        <item x="191"/>
        <item x="117"/>
        <item x="186"/>
        <item x="7"/>
        <item x="105"/>
        <item x="33"/>
        <item x="184"/>
        <item x="141"/>
        <item x="169"/>
        <item x="30"/>
        <item x="195"/>
        <item x="173"/>
        <item x="144"/>
        <item x="79"/>
        <item x="155"/>
        <item x="123"/>
        <item x="157"/>
        <item x="53"/>
        <item x="95"/>
        <item x="92"/>
        <item x="159"/>
        <item x="125"/>
        <item x="197"/>
        <item x="177"/>
        <item x="19"/>
        <item x="100"/>
        <item x="182"/>
        <item x="164"/>
        <item x="78"/>
        <item x="64"/>
        <item x="68"/>
        <item x="154"/>
        <item x="134"/>
        <item x="65"/>
        <item x="83"/>
        <item x="13"/>
        <item x="132"/>
        <item x="193"/>
        <item x="136"/>
        <item x="54"/>
        <item x="59"/>
        <item x="190"/>
        <item x="102"/>
        <item x="25"/>
        <item x="34"/>
        <item x="133"/>
        <item x="5"/>
        <item x="148"/>
        <item x="180"/>
        <item x="172"/>
        <item x="37"/>
        <item x="128"/>
        <item x="44"/>
        <item x="147"/>
        <item x="181"/>
        <item x="152"/>
        <item x="189"/>
        <item x="129"/>
        <item x="15"/>
        <item x="165"/>
        <item x="82"/>
        <item x="119"/>
        <item x="96"/>
        <item x="58"/>
        <item x="46"/>
        <item x="87"/>
        <item x="150"/>
        <item x="39"/>
        <item x="22"/>
        <item x="104"/>
        <item x="156"/>
        <item x="185"/>
        <item x="192"/>
        <item x="4"/>
        <item x="16"/>
        <item x="198"/>
        <item x="113"/>
        <item x="45"/>
        <item x="175"/>
        <item x="101"/>
        <item x="194"/>
        <item x="11"/>
        <item x="6"/>
        <item x="146"/>
        <item x="161"/>
        <item x="35"/>
        <item x="20"/>
        <item x="28"/>
        <item x="50"/>
        <item x="40"/>
        <item x="98"/>
        <item x="38"/>
        <item x="88"/>
        <item x="89"/>
        <item x="179"/>
        <item x="14"/>
        <item x="24"/>
        <item x="140"/>
        <item x="36"/>
        <item x="94"/>
        <item x="70"/>
        <item x="66"/>
        <item x="143"/>
        <item x="29"/>
        <item x="80"/>
        <item x="84"/>
        <item x="12"/>
        <item x="17"/>
        <item x="127"/>
        <item x="55"/>
        <item x="0"/>
        <item x="81"/>
        <item x="121"/>
        <item x="71"/>
        <item x="2"/>
        <item x="67"/>
        <item x="74"/>
        <item x="48"/>
        <item x="47"/>
        <item x="112"/>
        <item x="42"/>
        <item x="73"/>
        <item x="97"/>
        <item x="9"/>
        <item x="49"/>
        <item x="18"/>
        <item x="138"/>
        <item x="90"/>
        <item x="91"/>
        <item x="56"/>
        <item x="199"/>
        <item x="176"/>
        <item x="120"/>
        <item x="8"/>
        <item x="171"/>
        <item x="135"/>
        <item x="124"/>
        <item x="41"/>
        <item x="126"/>
        <item x="183"/>
        <item x="62"/>
        <item x="153"/>
        <item x="139"/>
        <item x="10"/>
        <item x="77"/>
        <item x="99"/>
        <item x="130"/>
        <item x="93"/>
        <item x="103"/>
        <item x="149"/>
        <item x="52"/>
        <item x="160"/>
        <item t="default"/>
      </items>
    </pivotField>
    <pivotField axis="axisRow" showAll="0" sortType="descending">
      <items count="10">
        <item x="3"/>
        <item sd="0" x="6"/>
        <item x="1"/>
        <item x="2"/>
        <item x="5"/>
        <item x="8"/>
        <item x="4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dataField="1" showAll="0"/>
    <pivotField showAll="0"/>
    <pivotField showAll="0"/>
    <pivotField multipleItemSelectionAllowed="1" showAll="0">
      <items count="3">
        <item x="0"/>
        <item x="1"/>
        <item t="default"/>
      </items>
    </pivotField>
    <pivotField showAll="0"/>
  </pivotFields>
  <rowFields count="1">
    <field x="1"/>
  </rowFields>
  <rowItems count="10">
    <i>
      <x v="6"/>
    </i>
    <i>
      <x v="3"/>
    </i>
    <i>
      <x/>
    </i>
    <i>
      <x v="2"/>
    </i>
    <i>
      <x v="1"/>
    </i>
    <i>
      <x v="5"/>
    </i>
    <i>
      <x v="8"/>
    </i>
    <i>
      <x v="4"/>
    </i>
    <i>
      <x v="7"/>
    </i>
    <i t="grand">
      <x/>
    </i>
  </rowItems>
  <colItems count="1">
    <i/>
  </colItems>
  <dataFields count="1">
    <dataField name="Average of Salary" fld="7" subtotal="average" baseField="1" baseItem="0"/>
  </dataFields>
  <chartFormats count="1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2A2B4D3-07EA-4E3D-A6B1-BEA9B83EEBF3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N16:O26" firstHeaderRow="1" firstDataRow="1" firstDataCol="1" rowPageCount="1" colPageCount="1"/>
  <pivotFields count="12">
    <pivotField dataField="1" showAll="0">
      <items count="201">
        <item x="109"/>
        <item x="131"/>
        <item x="111"/>
        <item x="137"/>
        <item x="75"/>
        <item x="145"/>
        <item x="63"/>
        <item x="107"/>
        <item x="72"/>
        <item x="166"/>
        <item x="76"/>
        <item x="151"/>
        <item x="188"/>
        <item x="3"/>
        <item x="114"/>
        <item x="85"/>
        <item x="60"/>
        <item x="116"/>
        <item x="118"/>
        <item x="26"/>
        <item x="163"/>
        <item x="106"/>
        <item x="110"/>
        <item x="23"/>
        <item x="142"/>
        <item x="196"/>
        <item x="174"/>
        <item x="57"/>
        <item x="158"/>
        <item x="32"/>
        <item x="27"/>
        <item x="122"/>
        <item x="1"/>
        <item x="168"/>
        <item x="167"/>
        <item x="162"/>
        <item x="178"/>
        <item x="43"/>
        <item x="51"/>
        <item x="187"/>
        <item x="86"/>
        <item x="115"/>
        <item x="21"/>
        <item x="170"/>
        <item x="108"/>
        <item x="61"/>
        <item x="69"/>
        <item x="31"/>
        <item x="191"/>
        <item x="117"/>
        <item x="186"/>
        <item x="7"/>
        <item x="105"/>
        <item x="33"/>
        <item x="184"/>
        <item x="141"/>
        <item x="169"/>
        <item x="30"/>
        <item x="195"/>
        <item x="173"/>
        <item x="144"/>
        <item x="79"/>
        <item x="155"/>
        <item x="123"/>
        <item x="157"/>
        <item x="53"/>
        <item x="95"/>
        <item x="92"/>
        <item x="159"/>
        <item x="125"/>
        <item x="197"/>
        <item x="177"/>
        <item x="19"/>
        <item x="100"/>
        <item x="182"/>
        <item x="164"/>
        <item x="78"/>
        <item x="64"/>
        <item x="68"/>
        <item x="154"/>
        <item x="134"/>
        <item x="65"/>
        <item x="83"/>
        <item x="13"/>
        <item x="132"/>
        <item x="193"/>
        <item x="136"/>
        <item x="54"/>
        <item x="59"/>
        <item x="190"/>
        <item x="102"/>
        <item x="25"/>
        <item x="34"/>
        <item x="133"/>
        <item x="5"/>
        <item x="148"/>
        <item x="180"/>
        <item x="172"/>
        <item x="37"/>
        <item x="128"/>
        <item x="44"/>
        <item x="147"/>
        <item x="181"/>
        <item x="152"/>
        <item x="189"/>
        <item x="129"/>
        <item x="15"/>
        <item x="165"/>
        <item x="82"/>
        <item x="119"/>
        <item x="96"/>
        <item x="58"/>
        <item x="46"/>
        <item x="87"/>
        <item x="150"/>
        <item x="39"/>
        <item x="22"/>
        <item x="104"/>
        <item x="156"/>
        <item x="185"/>
        <item x="192"/>
        <item x="4"/>
        <item x="16"/>
        <item x="198"/>
        <item x="113"/>
        <item x="45"/>
        <item x="175"/>
        <item x="101"/>
        <item x="194"/>
        <item x="11"/>
        <item x="6"/>
        <item x="146"/>
        <item x="161"/>
        <item x="35"/>
        <item x="20"/>
        <item x="28"/>
        <item x="50"/>
        <item x="40"/>
        <item x="98"/>
        <item x="38"/>
        <item x="88"/>
        <item x="89"/>
        <item x="179"/>
        <item x="14"/>
        <item x="24"/>
        <item x="140"/>
        <item x="36"/>
        <item x="94"/>
        <item x="70"/>
        <item x="66"/>
        <item x="143"/>
        <item x="29"/>
        <item x="80"/>
        <item x="84"/>
        <item x="12"/>
        <item x="17"/>
        <item x="127"/>
        <item x="55"/>
        <item x="0"/>
        <item x="81"/>
        <item x="121"/>
        <item x="71"/>
        <item x="2"/>
        <item x="67"/>
        <item x="74"/>
        <item x="48"/>
        <item x="47"/>
        <item x="112"/>
        <item x="42"/>
        <item x="73"/>
        <item x="97"/>
        <item x="9"/>
        <item x="49"/>
        <item x="18"/>
        <item x="138"/>
        <item x="90"/>
        <item x="91"/>
        <item x="56"/>
        <item x="199"/>
        <item x="176"/>
        <item x="120"/>
        <item x="8"/>
        <item x="171"/>
        <item x="135"/>
        <item x="124"/>
        <item x="41"/>
        <item x="126"/>
        <item x="183"/>
        <item x="62"/>
        <item x="153"/>
        <item x="139"/>
        <item x="10"/>
        <item x="77"/>
        <item x="99"/>
        <item x="130"/>
        <item x="93"/>
        <item x="103"/>
        <item x="149"/>
        <item x="52"/>
        <item x="160"/>
        <item t="default"/>
      </items>
    </pivotField>
    <pivotField axis="axisRow" showAll="0" sortType="descending">
      <items count="10">
        <item x="3"/>
        <item sd="0" x="6"/>
        <item x="1"/>
        <item x="2"/>
        <item x="5"/>
        <item x="8"/>
        <item x="4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Fields count="1">
    <field x="1"/>
  </rowFields>
  <rowItems count="10">
    <i>
      <x v="3"/>
    </i>
    <i>
      <x v="1"/>
    </i>
    <i>
      <x v="5"/>
    </i>
    <i>
      <x v="6"/>
    </i>
    <i>
      <x v="4"/>
    </i>
    <i>
      <x v="7"/>
    </i>
    <i>
      <x v="8"/>
    </i>
    <i>
      <x/>
    </i>
    <i>
      <x v="2"/>
    </i>
    <i t="grand">
      <x/>
    </i>
  </rowItems>
  <colItems count="1">
    <i/>
  </colItems>
  <pageFields count="1">
    <pageField fld="10" hier="-1"/>
  </pageFields>
  <dataFields count="1">
    <dataField name="Count of EmployeeID" fld="0" subtotal="count" baseField="0" baseItem="0"/>
  </dataFields>
  <chartFormats count="1">
    <chartFormat chart="9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CB0444-B306-4501-9CDF-9554DD45CBF3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N16:Q27" firstHeaderRow="1" firstDataRow="2" firstDataCol="1" rowPageCount="1" colPageCount="1"/>
  <pivotFields count="12">
    <pivotField dataField="1" showAll="0">
      <items count="201">
        <item x="109"/>
        <item x="131"/>
        <item x="111"/>
        <item x="137"/>
        <item x="75"/>
        <item x="145"/>
        <item x="63"/>
        <item x="107"/>
        <item x="72"/>
        <item x="166"/>
        <item x="76"/>
        <item x="151"/>
        <item x="188"/>
        <item x="3"/>
        <item x="114"/>
        <item x="85"/>
        <item x="60"/>
        <item x="116"/>
        <item x="118"/>
        <item x="26"/>
        <item x="163"/>
        <item x="106"/>
        <item x="110"/>
        <item x="23"/>
        <item x="142"/>
        <item x="196"/>
        <item x="174"/>
        <item x="57"/>
        <item x="158"/>
        <item x="32"/>
        <item x="27"/>
        <item x="122"/>
        <item x="1"/>
        <item x="168"/>
        <item x="167"/>
        <item x="162"/>
        <item x="178"/>
        <item x="43"/>
        <item x="51"/>
        <item x="187"/>
        <item x="86"/>
        <item x="115"/>
        <item x="21"/>
        <item x="170"/>
        <item x="108"/>
        <item x="61"/>
        <item x="69"/>
        <item x="31"/>
        <item x="191"/>
        <item x="117"/>
        <item x="186"/>
        <item x="7"/>
        <item x="105"/>
        <item x="33"/>
        <item x="184"/>
        <item x="141"/>
        <item x="169"/>
        <item x="30"/>
        <item x="195"/>
        <item x="173"/>
        <item x="144"/>
        <item x="79"/>
        <item x="155"/>
        <item x="123"/>
        <item x="157"/>
        <item x="53"/>
        <item x="95"/>
        <item x="92"/>
        <item x="159"/>
        <item x="125"/>
        <item x="197"/>
        <item x="177"/>
        <item x="19"/>
        <item x="100"/>
        <item x="182"/>
        <item x="164"/>
        <item x="78"/>
        <item x="64"/>
        <item x="68"/>
        <item x="154"/>
        <item x="134"/>
        <item x="65"/>
        <item x="83"/>
        <item x="13"/>
        <item x="132"/>
        <item x="193"/>
        <item x="136"/>
        <item x="54"/>
        <item x="59"/>
        <item x="190"/>
        <item x="102"/>
        <item x="25"/>
        <item x="34"/>
        <item x="133"/>
        <item x="5"/>
        <item x="148"/>
        <item x="180"/>
        <item x="172"/>
        <item x="37"/>
        <item x="128"/>
        <item x="44"/>
        <item x="147"/>
        <item x="181"/>
        <item x="152"/>
        <item x="189"/>
        <item x="129"/>
        <item x="15"/>
        <item x="165"/>
        <item x="82"/>
        <item x="119"/>
        <item x="96"/>
        <item x="58"/>
        <item x="46"/>
        <item x="87"/>
        <item x="150"/>
        <item x="39"/>
        <item x="22"/>
        <item x="104"/>
        <item x="156"/>
        <item x="185"/>
        <item x="192"/>
        <item x="4"/>
        <item x="16"/>
        <item x="198"/>
        <item x="113"/>
        <item x="45"/>
        <item x="175"/>
        <item x="101"/>
        <item x="194"/>
        <item x="11"/>
        <item x="6"/>
        <item x="146"/>
        <item x="161"/>
        <item x="35"/>
        <item x="20"/>
        <item x="28"/>
        <item x="50"/>
        <item x="40"/>
        <item x="98"/>
        <item x="38"/>
        <item x="88"/>
        <item x="89"/>
        <item x="179"/>
        <item x="14"/>
        <item x="24"/>
        <item x="140"/>
        <item x="36"/>
        <item x="94"/>
        <item x="70"/>
        <item x="66"/>
        <item x="143"/>
        <item x="29"/>
        <item x="80"/>
        <item x="84"/>
        <item x="12"/>
        <item x="17"/>
        <item x="127"/>
        <item x="55"/>
        <item x="0"/>
        <item x="81"/>
        <item x="121"/>
        <item x="71"/>
        <item x="2"/>
        <item x="67"/>
        <item x="74"/>
        <item x="48"/>
        <item x="47"/>
        <item x="112"/>
        <item x="42"/>
        <item x="73"/>
        <item x="97"/>
        <item x="9"/>
        <item x="49"/>
        <item x="18"/>
        <item x="138"/>
        <item x="90"/>
        <item x="91"/>
        <item x="56"/>
        <item x="199"/>
        <item x="176"/>
        <item x="120"/>
        <item x="8"/>
        <item x="171"/>
        <item x="135"/>
        <item x="124"/>
        <item x="41"/>
        <item x="126"/>
        <item x="183"/>
        <item x="62"/>
        <item x="153"/>
        <item x="139"/>
        <item x="10"/>
        <item x="77"/>
        <item x="99"/>
        <item x="130"/>
        <item x="93"/>
        <item x="103"/>
        <item x="149"/>
        <item x="52"/>
        <item x="160"/>
        <item t="default"/>
      </items>
    </pivotField>
    <pivotField axis="axisRow" showAll="0">
      <items count="10">
        <item x="3"/>
        <item sd="0" x="6"/>
        <item x="1"/>
        <item x="2"/>
        <item x="5"/>
        <item x="8"/>
        <item x="4"/>
        <item x="0"/>
        <item x="7"/>
        <item t="default"/>
      </items>
    </pivotField>
    <pivotField showAll="0"/>
    <pivotField showAll="0"/>
    <pivotField axis="axisCol" showAll="0">
      <items count="4">
        <item x="1"/>
        <item x="2"/>
        <item h="1" x="0"/>
        <item t="default"/>
      </items>
    </pivotField>
    <pivotField numFmtId="14" showAll="0"/>
    <pivotField showAll="0"/>
    <pivotField showAll="0"/>
    <pivotField showAll="0"/>
    <pivotField showAll="0"/>
    <pivotField axis="axisPage" multipleItemSelectionAllowed="1" showAll="0">
      <items count="3">
        <item h="1" x="0"/>
        <item x="1"/>
        <item t="default"/>
      </items>
    </pivotField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4"/>
  </colFields>
  <colItems count="3">
    <i>
      <x/>
    </i>
    <i>
      <x v="1"/>
    </i>
    <i t="grand">
      <x/>
    </i>
  </colItems>
  <pageFields count="1">
    <pageField fld="10" hier="-1"/>
  </pageFields>
  <dataFields count="1">
    <dataField name="Count of EmployeeID" fld="0" subtotal="count" baseField="0" baseItem="0"/>
  </dataField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00EE-9BE4-46F9-8FA4-F5C9C0873C50}">
  <sheetPr filterMode="1"/>
  <dimension ref="A1:R202"/>
  <sheetViews>
    <sheetView topLeftCell="F1" zoomScale="68" workbookViewId="0">
      <selection activeCell="N76" sqref="N76"/>
    </sheetView>
  </sheetViews>
  <sheetFormatPr defaultRowHeight="14.4" x14ac:dyDescent="0.3"/>
  <cols>
    <col min="1" max="1" width="13.33203125" bestFit="1" customWidth="1"/>
    <col min="2" max="2" width="21.88671875" bestFit="1" customWidth="1"/>
    <col min="3" max="3" width="20.44140625" bestFit="1" customWidth="1"/>
    <col min="4" max="4" width="30.33203125" customWidth="1"/>
    <col min="5" max="5" width="9.33203125" bestFit="1" customWidth="1"/>
    <col min="6" max="6" width="22.88671875" customWidth="1"/>
    <col min="7" max="7" width="17.44140625" bestFit="1" customWidth="1"/>
    <col min="8" max="8" width="8.44140625" bestFit="1" customWidth="1"/>
    <col min="9" max="9" width="12.5546875" bestFit="1" customWidth="1"/>
    <col min="10" max="10" width="19.77734375" bestFit="1" customWidth="1"/>
    <col min="11" max="11" width="12.77734375" customWidth="1"/>
    <col min="12" max="12" width="11.77734375" bestFit="1" customWidth="1"/>
    <col min="14" max="14" width="22.88671875" bestFit="1" customWidth="1"/>
    <col min="15" max="15" width="16.44140625" bestFit="1" customWidth="1"/>
    <col min="16" max="16" width="5.33203125" bestFit="1" customWidth="1"/>
    <col min="17" max="17" width="4.5546875" bestFit="1" customWidth="1"/>
    <col min="18" max="18" width="11.44140625" bestFit="1" customWidth="1"/>
    <col min="19" max="19" width="11.21875" bestFit="1" customWidth="1"/>
    <col min="20" max="20" width="10.44140625" bestFit="1" customWidth="1"/>
    <col min="21" max="21" width="11.44140625" bestFit="1" customWidth="1"/>
  </cols>
  <sheetData>
    <row r="1" spans="1:1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idden="1" x14ac:dyDescent="0.3">
      <c r="A2" s="5" t="s">
        <v>330</v>
      </c>
      <c r="B2" s="6" t="s">
        <v>13</v>
      </c>
      <c r="C2" s="6" t="s">
        <v>264</v>
      </c>
      <c r="D2" s="6" t="s">
        <v>331</v>
      </c>
      <c r="E2" s="6" t="s">
        <v>34</v>
      </c>
      <c r="F2" s="7">
        <v>43120</v>
      </c>
      <c r="G2" s="7"/>
      <c r="H2" s="8">
        <v>403</v>
      </c>
      <c r="I2" s="6" t="s">
        <v>141</v>
      </c>
      <c r="J2" s="8">
        <v>2</v>
      </c>
      <c r="K2" s="6" t="s">
        <v>18</v>
      </c>
      <c r="L2" s="8"/>
      <c r="N2" s="9" t="s">
        <v>19</v>
      </c>
    </row>
    <row r="3" spans="1:16" x14ac:dyDescent="0.3">
      <c r="A3" s="5" t="s">
        <v>108</v>
      </c>
      <c r="B3" s="6" t="s">
        <v>27</v>
      </c>
      <c r="C3" s="6" t="s">
        <v>87</v>
      </c>
      <c r="D3" s="6" t="s">
        <v>109</v>
      </c>
      <c r="E3" s="6" t="s">
        <v>24</v>
      </c>
      <c r="F3" s="7">
        <v>43130</v>
      </c>
      <c r="G3" s="7"/>
      <c r="H3" s="8">
        <v>1785</v>
      </c>
      <c r="I3" s="6" t="s">
        <v>110</v>
      </c>
      <c r="J3" s="8">
        <v>4</v>
      </c>
      <c r="K3" s="6" t="s">
        <v>18</v>
      </c>
      <c r="L3" s="8"/>
      <c r="N3" s="14"/>
    </row>
    <row r="4" spans="1:16" x14ac:dyDescent="0.3">
      <c r="A4" s="5" t="s">
        <v>338</v>
      </c>
      <c r="B4" s="6" t="s">
        <v>50</v>
      </c>
      <c r="C4" s="6" t="s">
        <v>70</v>
      </c>
      <c r="D4" s="6" t="s">
        <v>339</v>
      </c>
      <c r="E4" s="6" t="s">
        <v>24</v>
      </c>
      <c r="F4" s="7">
        <v>43138</v>
      </c>
      <c r="G4" s="7">
        <v>44980</v>
      </c>
      <c r="H4" s="8">
        <v>551</v>
      </c>
      <c r="I4" s="6" t="s">
        <v>68</v>
      </c>
      <c r="J4" s="8">
        <v>3</v>
      </c>
      <c r="K4" s="6" t="s">
        <v>35</v>
      </c>
      <c r="L4" s="8"/>
      <c r="N4" s="9"/>
    </row>
    <row r="5" spans="1:16" x14ac:dyDescent="0.3">
      <c r="A5" s="10" t="s">
        <v>65</v>
      </c>
      <c r="B5" s="11" t="s">
        <v>61</v>
      </c>
      <c r="C5" s="11" t="s">
        <v>66</v>
      </c>
      <c r="D5" s="11" t="s">
        <v>67</v>
      </c>
      <c r="E5" s="11" t="s">
        <v>24</v>
      </c>
      <c r="F5" s="12">
        <v>43162</v>
      </c>
      <c r="G5" s="12"/>
      <c r="H5" s="13">
        <v>1150</v>
      </c>
      <c r="I5" s="11" t="s">
        <v>68</v>
      </c>
      <c r="J5" s="13">
        <v>2</v>
      </c>
      <c r="K5" s="11" t="s">
        <v>18</v>
      </c>
      <c r="L5" s="13"/>
      <c r="N5" s="14"/>
      <c r="O5" s="20"/>
      <c r="P5" s="20"/>
    </row>
    <row r="6" spans="1:16" hidden="1" x14ac:dyDescent="0.3">
      <c r="A6" s="10" t="s">
        <v>261</v>
      </c>
      <c r="B6" s="11" t="s">
        <v>31</v>
      </c>
      <c r="C6" s="11" t="s">
        <v>74</v>
      </c>
      <c r="D6" s="11" t="s">
        <v>262</v>
      </c>
      <c r="E6" s="11" t="s">
        <v>34</v>
      </c>
      <c r="F6" s="12">
        <v>43171</v>
      </c>
      <c r="G6" s="12"/>
      <c r="H6" s="13">
        <v>1528</v>
      </c>
      <c r="I6" s="11" t="s">
        <v>130</v>
      </c>
      <c r="J6" s="13">
        <v>5</v>
      </c>
      <c r="K6" s="11" t="s">
        <v>18</v>
      </c>
      <c r="L6" s="13"/>
      <c r="N6" s="9" t="s">
        <v>38</v>
      </c>
      <c r="O6" t="s">
        <v>403</v>
      </c>
      <c r="P6">
        <f>AVERAGE(H2:H201)</f>
        <v>1201.8150000000001</v>
      </c>
    </row>
    <row r="7" spans="1:16" x14ac:dyDescent="0.3">
      <c r="A7" s="5" t="s">
        <v>81</v>
      </c>
      <c r="B7" s="6" t="s">
        <v>99</v>
      </c>
      <c r="C7" s="6" t="s">
        <v>100</v>
      </c>
      <c r="D7" s="6" t="s">
        <v>224</v>
      </c>
      <c r="E7" s="6" t="s">
        <v>24</v>
      </c>
      <c r="F7" s="7">
        <v>43184</v>
      </c>
      <c r="G7" s="7">
        <v>44764</v>
      </c>
      <c r="H7" s="8">
        <v>1696</v>
      </c>
      <c r="I7" s="6"/>
      <c r="J7" s="8">
        <v>5</v>
      </c>
      <c r="K7" s="6" t="s">
        <v>35</v>
      </c>
      <c r="L7" s="8"/>
      <c r="N7" s="14"/>
      <c r="O7" s="20"/>
      <c r="P7" s="20"/>
    </row>
    <row r="8" spans="1:16" x14ac:dyDescent="0.3">
      <c r="A8" s="5" t="s">
        <v>279</v>
      </c>
      <c r="B8" s="6" t="s">
        <v>21</v>
      </c>
      <c r="C8" s="6" t="s">
        <v>133</v>
      </c>
      <c r="D8" s="6" t="s">
        <v>280</v>
      </c>
      <c r="E8" s="6" t="s">
        <v>24</v>
      </c>
      <c r="F8" s="7">
        <v>43189</v>
      </c>
      <c r="G8" s="7"/>
      <c r="H8" s="8">
        <v>338</v>
      </c>
      <c r="I8" s="6" t="s">
        <v>140</v>
      </c>
      <c r="J8" s="8">
        <v>3</v>
      </c>
      <c r="K8" s="6" t="s">
        <v>18</v>
      </c>
      <c r="L8" s="8"/>
      <c r="N8" s="9"/>
      <c r="O8" s="20"/>
      <c r="P8" s="21"/>
    </row>
    <row r="9" spans="1:16" x14ac:dyDescent="0.3">
      <c r="A9" s="10" t="s">
        <v>151</v>
      </c>
      <c r="B9" s="11" t="s">
        <v>13</v>
      </c>
      <c r="C9" s="11" t="s">
        <v>14</v>
      </c>
      <c r="D9" s="11" t="s">
        <v>152</v>
      </c>
      <c r="E9" s="11" t="s">
        <v>24</v>
      </c>
      <c r="F9" s="12">
        <v>43200</v>
      </c>
      <c r="G9" s="12"/>
      <c r="H9" s="13">
        <v>318</v>
      </c>
      <c r="I9" s="11" t="s">
        <v>91</v>
      </c>
      <c r="J9" s="13">
        <v>2</v>
      </c>
      <c r="K9" s="11" t="s">
        <v>18</v>
      </c>
      <c r="L9" s="13"/>
      <c r="O9" s="20"/>
      <c r="P9" s="21"/>
    </row>
    <row r="10" spans="1:16" x14ac:dyDescent="0.3">
      <c r="A10" s="10" t="s">
        <v>71</v>
      </c>
      <c r="B10" s="11" t="s">
        <v>42</v>
      </c>
      <c r="C10" s="11" t="s">
        <v>43</v>
      </c>
      <c r="D10" s="11" t="s">
        <v>369</v>
      </c>
      <c r="E10" s="11" t="s">
        <v>24</v>
      </c>
      <c r="F10" s="12">
        <v>43205</v>
      </c>
      <c r="G10" s="12"/>
      <c r="H10" s="13">
        <v>1646</v>
      </c>
      <c r="I10" s="11"/>
      <c r="J10" s="13">
        <v>2</v>
      </c>
      <c r="K10" s="11" t="s">
        <v>18</v>
      </c>
      <c r="L10" s="13"/>
    </row>
    <row r="11" spans="1:16" x14ac:dyDescent="0.3">
      <c r="A11" s="10" t="s">
        <v>353</v>
      </c>
      <c r="B11" s="11" t="s">
        <v>45</v>
      </c>
      <c r="C11" s="11" t="s">
        <v>97</v>
      </c>
      <c r="D11" s="11" t="s">
        <v>354</v>
      </c>
      <c r="E11" s="11" t="s">
        <v>16</v>
      </c>
      <c r="F11" s="12">
        <v>43229</v>
      </c>
      <c r="G11" s="12"/>
      <c r="H11" s="13">
        <v>1440</v>
      </c>
      <c r="I11" s="11"/>
      <c r="J11" s="13">
        <v>3</v>
      </c>
      <c r="K11" s="11" t="s">
        <v>18</v>
      </c>
      <c r="L11" s="13"/>
    </row>
    <row r="12" spans="1:16" hidden="1" x14ac:dyDescent="0.3">
      <c r="A12" s="10" t="s">
        <v>145</v>
      </c>
      <c r="B12" s="11" t="s">
        <v>31</v>
      </c>
      <c r="C12" s="11" t="s">
        <v>32</v>
      </c>
      <c r="D12" s="11" t="s">
        <v>387</v>
      </c>
      <c r="E12" s="11" t="s">
        <v>34</v>
      </c>
      <c r="F12" s="12">
        <v>43229</v>
      </c>
      <c r="G12" s="12">
        <v>44618</v>
      </c>
      <c r="H12" s="13">
        <v>2082</v>
      </c>
      <c r="I12" s="11"/>
      <c r="J12" s="13">
        <v>2</v>
      </c>
      <c r="K12" s="11" t="s">
        <v>35</v>
      </c>
      <c r="L12" s="13"/>
    </row>
    <row r="13" spans="1:16" hidden="1" x14ac:dyDescent="0.3">
      <c r="A13" s="10" t="s">
        <v>277</v>
      </c>
      <c r="B13" s="11" t="s">
        <v>21</v>
      </c>
      <c r="C13" s="11" t="s">
        <v>22</v>
      </c>
      <c r="D13" s="11" t="s">
        <v>278</v>
      </c>
      <c r="E13" s="11" t="s">
        <v>34</v>
      </c>
      <c r="F13" s="12">
        <v>43244</v>
      </c>
      <c r="G13" s="12"/>
      <c r="H13" s="13">
        <v>1088</v>
      </c>
      <c r="I13" s="11" t="s">
        <v>79</v>
      </c>
      <c r="J13" s="13">
        <v>3</v>
      </c>
      <c r="K13" s="11" t="s">
        <v>18</v>
      </c>
      <c r="L13" s="13"/>
    </row>
    <row r="14" spans="1:16" hidden="1" x14ac:dyDescent="0.3">
      <c r="A14" s="5" t="s">
        <v>322</v>
      </c>
      <c r="B14" s="6" t="s">
        <v>21</v>
      </c>
      <c r="C14" s="6" t="s">
        <v>154</v>
      </c>
      <c r="D14" s="6" t="s">
        <v>323</v>
      </c>
      <c r="E14" s="6" t="s">
        <v>34</v>
      </c>
      <c r="F14" s="7">
        <v>43263</v>
      </c>
      <c r="G14" s="7"/>
      <c r="H14" s="8">
        <v>1236</v>
      </c>
      <c r="I14" s="6" t="s">
        <v>17</v>
      </c>
      <c r="J14" s="8">
        <v>5</v>
      </c>
      <c r="K14" s="6" t="s">
        <v>18</v>
      </c>
      <c r="L14" s="8"/>
      <c r="N14" s="18" t="s">
        <v>10</v>
      </c>
      <c r="O14" t="s">
        <v>406</v>
      </c>
    </row>
    <row r="15" spans="1:16" x14ac:dyDescent="0.3">
      <c r="A15" s="10" t="s">
        <v>204</v>
      </c>
      <c r="B15" s="11" t="s">
        <v>50</v>
      </c>
      <c r="C15" s="11" t="s">
        <v>51</v>
      </c>
      <c r="D15" s="11" t="s">
        <v>205</v>
      </c>
      <c r="E15" s="11" t="s">
        <v>16</v>
      </c>
      <c r="F15" s="12">
        <v>43280</v>
      </c>
      <c r="G15" s="12"/>
      <c r="H15" s="13">
        <v>1554</v>
      </c>
      <c r="I15" s="11" t="s">
        <v>88</v>
      </c>
      <c r="J15" s="13">
        <v>4</v>
      </c>
      <c r="K15" s="11" t="s">
        <v>18</v>
      </c>
      <c r="L15" s="13"/>
    </row>
    <row r="16" spans="1:16" x14ac:dyDescent="0.3">
      <c r="A16" s="10" t="s">
        <v>104</v>
      </c>
      <c r="B16" s="11" t="s">
        <v>45</v>
      </c>
      <c r="C16" s="11" t="s">
        <v>97</v>
      </c>
      <c r="D16" s="11" t="s">
        <v>302</v>
      </c>
      <c r="E16" s="11" t="s">
        <v>16</v>
      </c>
      <c r="F16" s="12">
        <v>43289</v>
      </c>
      <c r="G16" s="12"/>
      <c r="H16" s="13">
        <v>814</v>
      </c>
      <c r="I16" s="11"/>
      <c r="J16" s="13">
        <v>5</v>
      </c>
      <c r="K16" s="11" t="s">
        <v>18</v>
      </c>
      <c r="L16" s="13"/>
      <c r="N16" s="18" t="s">
        <v>408</v>
      </c>
      <c r="O16" s="18" t="s">
        <v>407</v>
      </c>
    </row>
    <row r="17" spans="1:18" x14ac:dyDescent="0.3">
      <c r="A17" s="5" t="s">
        <v>110</v>
      </c>
      <c r="B17" s="6" t="s">
        <v>31</v>
      </c>
      <c r="C17" s="6" t="s">
        <v>32</v>
      </c>
      <c r="D17" s="6" t="str">
        <f>_xlfn.CONCAT("employees.",  RIGHT('Total employees'!$A108, 4), "@jogate.com")</f>
        <v>employees.1022@jogate.com</v>
      </c>
      <c r="E17" s="6" t="s">
        <v>16</v>
      </c>
      <c r="F17" s="7">
        <v>43292</v>
      </c>
      <c r="G17" s="7">
        <v>44267</v>
      </c>
      <c r="H17" s="8">
        <v>1594</v>
      </c>
      <c r="I17" s="6"/>
      <c r="J17" s="8">
        <v>2</v>
      </c>
      <c r="K17" s="6" t="s">
        <v>35</v>
      </c>
      <c r="L17" s="8"/>
      <c r="N17" s="18" t="s">
        <v>404</v>
      </c>
      <c r="O17" t="s">
        <v>24</v>
      </c>
      <c r="P17" t="s">
        <v>16</v>
      </c>
      <c r="Q17" t="s">
        <v>34</v>
      </c>
      <c r="R17" t="s">
        <v>405</v>
      </c>
    </row>
    <row r="18" spans="1:18" x14ac:dyDescent="0.3">
      <c r="A18" s="5" t="s">
        <v>263</v>
      </c>
      <c r="B18" s="6" t="s">
        <v>13</v>
      </c>
      <c r="C18" s="6" t="s">
        <v>264</v>
      </c>
      <c r="D18" s="6" t="s">
        <v>265</v>
      </c>
      <c r="E18" s="6" t="s">
        <v>24</v>
      </c>
      <c r="F18" s="7">
        <v>43308</v>
      </c>
      <c r="G18" s="7"/>
      <c r="H18" s="8">
        <v>1591</v>
      </c>
      <c r="I18" s="6" t="s">
        <v>130</v>
      </c>
      <c r="J18" s="8">
        <v>5</v>
      </c>
      <c r="K18" s="6" t="s">
        <v>18</v>
      </c>
      <c r="L18" s="8"/>
      <c r="N18" s="19" t="s">
        <v>61</v>
      </c>
      <c r="O18" s="1">
        <v>3</v>
      </c>
      <c r="P18" s="1">
        <v>6</v>
      </c>
      <c r="Q18" s="1">
        <v>14</v>
      </c>
      <c r="R18" s="1">
        <v>23</v>
      </c>
    </row>
    <row r="19" spans="1:18" hidden="1" x14ac:dyDescent="0.3">
      <c r="A19" s="10" t="s">
        <v>324</v>
      </c>
      <c r="B19" s="11" t="s">
        <v>61</v>
      </c>
      <c r="C19" s="11" t="s">
        <v>62</v>
      </c>
      <c r="D19" s="11" t="s">
        <v>325</v>
      </c>
      <c r="E19" s="11" t="s">
        <v>34</v>
      </c>
      <c r="F19" s="12">
        <v>43323</v>
      </c>
      <c r="G19" s="12"/>
      <c r="H19" s="13">
        <v>1899</v>
      </c>
      <c r="I19" s="11" t="s">
        <v>146</v>
      </c>
      <c r="J19" s="13">
        <v>2</v>
      </c>
      <c r="K19" s="11" t="s">
        <v>18</v>
      </c>
      <c r="L19" s="13"/>
      <c r="N19" s="19" t="s">
        <v>21</v>
      </c>
      <c r="O19" s="1">
        <v>10</v>
      </c>
      <c r="P19" s="1">
        <v>4</v>
      </c>
      <c r="Q19" s="1">
        <v>10</v>
      </c>
      <c r="R19" s="1">
        <v>24</v>
      </c>
    </row>
    <row r="20" spans="1:18" hidden="1" x14ac:dyDescent="0.3">
      <c r="A20" s="10" t="s">
        <v>140</v>
      </c>
      <c r="B20" s="11" t="s">
        <v>31</v>
      </c>
      <c r="C20" s="11" t="s">
        <v>32</v>
      </c>
      <c r="D20" s="11" t="s">
        <v>356</v>
      </c>
      <c r="E20" s="11" t="s">
        <v>34</v>
      </c>
      <c r="F20" s="12">
        <v>43336</v>
      </c>
      <c r="G20" s="12"/>
      <c r="H20" s="13">
        <v>1529</v>
      </c>
      <c r="I20" s="11"/>
      <c r="J20" s="13">
        <v>3</v>
      </c>
      <c r="K20" s="11" t="s">
        <v>18</v>
      </c>
      <c r="L20" s="13"/>
      <c r="N20" s="19" t="s">
        <v>27</v>
      </c>
      <c r="O20" s="1">
        <v>6</v>
      </c>
      <c r="P20" s="1">
        <v>8</v>
      </c>
      <c r="Q20" s="1">
        <v>4</v>
      </c>
      <c r="R20" s="1">
        <v>18</v>
      </c>
    </row>
    <row r="21" spans="1:18" x14ac:dyDescent="0.3">
      <c r="A21" s="5" t="s">
        <v>188</v>
      </c>
      <c r="B21" s="6" t="s">
        <v>45</v>
      </c>
      <c r="C21" s="6" t="s">
        <v>46</v>
      </c>
      <c r="D21" s="6" t="s">
        <v>189</v>
      </c>
      <c r="E21" s="6" t="s">
        <v>24</v>
      </c>
      <c r="F21" s="7">
        <v>43337</v>
      </c>
      <c r="G21" s="7">
        <v>44278</v>
      </c>
      <c r="H21" s="8">
        <v>1593</v>
      </c>
      <c r="I21" s="6" t="s">
        <v>146</v>
      </c>
      <c r="J21" s="8">
        <v>3</v>
      </c>
      <c r="K21" s="6" t="s">
        <v>35</v>
      </c>
      <c r="L21" s="8"/>
      <c r="N21" s="19" t="s">
        <v>50</v>
      </c>
      <c r="O21" s="1">
        <v>10</v>
      </c>
      <c r="P21" s="1">
        <v>8</v>
      </c>
      <c r="Q21" s="1">
        <v>6</v>
      </c>
      <c r="R21" s="1">
        <v>24</v>
      </c>
    </row>
    <row r="22" spans="1:18" x14ac:dyDescent="0.3">
      <c r="A22" s="5" t="s">
        <v>241</v>
      </c>
      <c r="B22" s="6" t="s">
        <v>31</v>
      </c>
      <c r="C22" s="6" t="s">
        <v>32</v>
      </c>
      <c r="D22" s="6" t="s">
        <v>287</v>
      </c>
      <c r="E22" s="6" t="s">
        <v>16</v>
      </c>
      <c r="F22" s="7">
        <v>43345</v>
      </c>
      <c r="G22" s="7"/>
      <c r="H22" s="8">
        <v>1820</v>
      </c>
      <c r="I22" s="6"/>
      <c r="J22" s="8">
        <v>4</v>
      </c>
      <c r="K22" s="6" t="s">
        <v>18</v>
      </c>
      <c r="L22" s="8"/>
      <c r="N22" s="19" t="s">
        <v>99</v>
      </c>
      <c r="O22" s="1">
        <v>3</v>
      </c>
      <c r="P22" s="1">
        <v>7</v>
      </c>
      <c r="Q22" s="1">
        <v>7</v>
      </c>
      <c r="R22" s="1">
        <v>17</v>
      </c>
    </row>
    <row r="23" spans="1:18" x14ac:dyDescent="0.3">
      <c r="A23" s="5" t="s">
        <v>37</v>
      </c>
      <c r="B23" s="6" t="s">
        <v>13</v>
      </c>
      <c r="C23" s="6" t="s">
        <v>14</v>
      </c>
      <c r="D23" s="6" t="s">
        <v>129</v>
      </c>
      <c r="E23" s="6" t="s">
        <v>24</v>
      </c>
      <c r="F23" s="7">
        <v>43349</v>
      </c>
      <c r="G23" s="7">
        <v>45081</v>
      </c>
      <c r="H23" s="8">
        <v>1802</v>
      </c>
      <c r="I23" s="6" t="s">
        <v>110</v>
      </c>
      <c r="J23" s="8">
        <v>5</v>
      </c>
      <c r="K23" s="6" t="s">
        <v>35</v>
      </c>
      <c r="L23" s="8"/>
      <c r="N23" s="19" t="s">
        <v>45</v>
      </c>
      <c r="O23" s="1">
        <v>13</v>
      </c>
      <c r="P23" s="1">
        <v>7</v>
      </c>
      <c r="Q23" s="1">
        <v>6</v>
      </c>
      <c r="R23" s="1">
        <v>26</v>
      </c>
    </row>
    <row r="24" spans="1:18" hidden="1" x14ac:dyDescent="0.3">
      <c r="A24" s="5" t="s">
        <v>252</v>
      </c>
      <c r="B24" s="6" t="s">
        <v>61</v>
      </c>
      <c r="C24" s="6" t="s">
        <v>66</v>
      </c>
      <c r="D24" s="6" t="s">
        <v>253</v>
      </c>
      <c r="E24" s="6" t="s">
        <v>34</v>
      </c>
      <c r="F24" s="7">
        <v>43349</v>
      </c>
      <c r="G24" s="7"/>
      <c r="H24" s="8">
        <v>1009</v>
      </c>
      <c r="I24" s="6" t="s">
        <v>164</v>
      </c>
      <c r="J24" s="8">
        <v>2</v>
      </c>
      <c r="K24" s="6" t="s">
        <v>18</v>
      </c>
      <c r="L24" s="8"/>
      <c r="N24" s="19" t="s">
        <v>31</v>
      </c>
      <c r="O24" s="1">
        <v>8</v>
      </c>
      <c r="P24" s="1">
        <v>9</v>
      </c>
      <c r="Q24" s="1">
        <v>12</v>
      </c>
      <c r="R24" s="1">
        <v>29</v>
      </c>
    </row>
    <row r="25" spans="1:18" x14ac:dyDescent="0.3">
      <c r="A25" s="10" t="s">
        <v>86</v>
      </c>
      <c r="B25" s="11" t="s">
        <v>27</v>
      </c>
      <c r="C25" s="11" t="s">
        <v>87</v>
      </c>
      <c r="D25" s="11" t="str">
        <f>_xlfn.CONCAT("employees.",  RIGHT('Total employees'!$A25, 4), "@jogate.com")</f>
        <v>employees.1024@jogate.com</v>
      </c>
      <c r="E25" s="11" t="s">
        <v>24</v>
      </c>
      <c r="F25" s="12">
        <v>43353</v>
      </c>
      <c r="G25" s="12"/>
      <c r="H25" s="13">
        <v>761</v>
      </c>
      <c r="I25" s="11" t="s">
        <v>88</v>
      </c>
      <c r="J25" s="13">
        <v>4</v>
      </c>
      <c r="K25" s="11" t="s">
        <v>18</v>
      </c>
      <c r="L25" s="13"/>
      <c r="N25" s="19" t="s">
        <v>13</v>
      </c>
      <c r="O25" s="1">
        <v>9</v>
      </c>
      <c r="P25" s="1">
        <v>4</v>
      </c>
      <c r="Q25" s="1">
        <v>6</v>
      </c>
      <c r="R25" s="1">
        <v>19</v>
      </c>
    </row>
    <row r="26" spans="1:18" x14ac:dyDescent="0.3">
      <c r="A26" s="5" t="s">
        <v>303</v>
      </c>
      <c r="B26" s="6" t="s">
        <v>42</v>
      </c>
      <c r="C26" s="6" t="s">
        <v>83</v>
      </c>
      <c r="D26" s="6" t="s">
        <v>304</v>
      </c>
      <c r="E26" s="6" t="s">
        <v>16</v>
      </c>
      <c r="F26" s="7">
        <v>43404</v>
      </c>
      <c r="G26" s="7"/>
      <c r="H26" s="8">
        <v>994</v>
      </c>
      <c r="I26" s="6" t="s">
        <v>39</v>
      </c>
      <c r="J26" s="8">
        <v>5</v>
      </c>
      <c r="K26" s="6" t="s">
        <v>18</v>
      </c>
      <c r="L26" s="8"/>
      <c r="N26" s="19" t="s">
        <v>42</v>
      </c>
      <c r="O26" s="1">
        <v>9</v>
      </c>
      <c r="P26" s="1">
        <v>4</v>
      </c>
      <c r="Q26" s="1">
        <v>7</v>
      </c>
      <c r="R26" s="1">
        <v>20</v>
      </c>
    </row>
    <row r="27" spans="1:18" hidden="1" x14ac:dyDescent="0.3">
      <c r="A27" s="10" t="s">
        <v>219</v>
      </c>
      <c r="B27" s="11" t="s">
        <v>45</v>
      </c>
      <c r="C27" s="11" t="s">
        <v>58</v>
      </c>
      <c r="D27" s="11" t="s">
        <v>220</v>
      </c>
      <c r="E27" s="11" t="s">
        <v>34</v>
      </c>
      <c r="F27" s="12">
        <v>43414</v>
      </c>
      <c r="G27" s="12"/>
      <c r="H27" s="13">
        <v>466</v>
      </c>
      <c r="I27" s="11" t="s">
        <v>164</v>
      </c>
      <c r="J27" s="13">
        <v>5</v>
      </c>
      <c r="K27" s="11" t="s">
        <v>18</v>
      </c>
      <c r="L27" s="13"/>
      <c r="N27" s="19" t="s">
        <v>405</v>
      </c>
      <c r="O27" s="1">
        <v>71</v>
      </c>
      <c r="P27" s="1">
        <v>57</v>
      </c>
      <c r="Q27" s="1">
        <v>72</v>
      </c>
      <c r="R27" s="1">
        <v>200</v>
      </c>
    </row>
    <row r="28" spans="1:18" x14ac:dyDescent="0.3">
      <c r="A28" s="10" t="s">
        <v>77</v>
      </c>
      <c r="B28" s="11" t="s">
        <v>61</v>
      </c>
      <c r="C28" s="11" t="s">
        <v>78</v>
      </c>
      <c r="D28" s="11" t="str">
        <f>_xlfn.CONCAT("employees.",  RIGHT('Total employees'!$A21, 4), "@jogate.com")</f>
        <v>employees.1073@jogate.com</v>
      </c>
      <c r="E28" s="11" t="s">
        <v>16</v>
      </c>
      <c r="F28" s="12">
        <v>43455</v>
      </c>
      <c r="G28" s="12">
        <v>44930</v>
      </c>
      <c r="H28" s="13">
        <v>1814</v>
      </c>
      <c r="I28" s="11" t="s">
        <v>79</v>
      </c>
      <c r="J28" s="13">
        <v>2</v>
      </c>
      <c r="K28" s="11" t="s">
        <v>35</v>
      </c>
      <c r="L28" s="13"/>
    </row>
    <row r="29" spans="1:18" hidden="1" x14ac:dyDescent="0.3">
      <c r="A29" s="5" t="s">
        <v>102</v>
      </c>
      <c r="B29" s="6" t="s">
        <v>61</v>
      </c>
      <c r="C29" s="6" t="s">
        <v>62</v>
      </c>
      <c r="D29" s="6" t="s">
        <v>103</v>
      </c>
      <c r="E29" s="6" t="s">
        <v>34</v>
      </c>
      <c r="F29" s="7">
        <v>43456</v>
      </c>
      <c r="G29" s="7"/>
      <c r="H29" s="8">
        <v>454</v>
      </c>
      <c r="I29" s="6" t="s">
        <v>104</v>
      </c>
      <c r="J29" s="8">
        <v>4</v>
      </c>
      <c r="K29" s="6" t="s">
        <v>18</v>
      </c>
      <c r="L29" s="8"/>
    </row>
    <row r="30" spans="1:18" x14ac:dyDescent="0.3">
      <c r="A30" s="10" t="s">
        <v>91</v>
      </c>
      <c r="B30" s="11" t="s">
        <v>99</v>
      </c>
      <c r="C30" s="11" t="s">
        <v>100</v>
      </c>
      <c r="D30" s="11" t="s">
        <v>288</v>
      </c>
      <c r="E30" s="11" t="s">
        <v>24</v>
      </c>
      <c r="F30" s="12">
        <v>43472</v>
      </c>
      <c r="G30" s="12"/>
      <c r="H30" s="13">
        <v>1933</v>
      </c>
      <c r="I30" s="11"/>
      <c r="J30" s="13">
        <v>4</v>
      </c>
      <c r="K30" s="11" t="s">
        <v>18</v>
      </c>
      <c r="L30" s="13"/>
    </row>
    <row r="31" spans="1:18" hidden="1" x14ac:dyDescent="0.3">
      <c r="A31" s="10" t="s">
        <v>316</v>
      </c>
      <c r="B31" s="11" t="s">
        <v>13</v>
      </c>
      <c r="C31" s="11" t="s">
        <v>160</v>
      </c>
      <c r="D31" s="11" t="s">
        <v>317</v>
      </c>
      <c r="E31" s="11" t="s">
        <v>34</v>
      </c>
      <c r="F31" s="12">
        <v>43474</v>
      </c>
      <c r="G31" s="12"/>
      <c r="H31" s="13">
        <v>946</v>
      </c>
      <c r="I31" s="11" t="s">
        <v>145</v>
      </c>
      <c r="J31" s="13">
        <v>4</v>
      </c>
      <c r="K31" s="11" t="s">
        <v>18</v>
      </c>
      <c r="L31" s="13"/>
    </row>
    <row r="32" spans="1:18" hidden="1" x14ac:dyDescent="0.3">
      <c r="A32" s="10" t="s">
        <v>162</v>
      </c>
      <c r="B32" s="11" t="s">
        <v>27</v>
      </c>
      <c r="C32" s="11" t="s">
        <v>87</v>
      </c>
      <c r="D32" s="11" t="str">
        <f>_xlfn.CONCAT("employees.",  RIGHT('Total employees'!$A59, 4), "@jogate.com")</f>
        <v>employees.1028@jogate.com</v>
      </c>
      <c r="E32" s="11" t="s">
        <v>34</v>
      </c>
      <c r="F32" s="12">
        <v>43504</v>
      </c>
      <c r="G32" s="12"/>
      <c r="H32" s="13">
        <v>2088</v>
      </c>
      <c r="I32" s="11" t="s">
        <v>130</v>
      </c>
      <c r="J32" s="13">
        <v>4</v>
      </c>
      <c r="K32" s="11" t="s">
        <v>18</v>
      </c>
      <c r="L32" s="13"/>
    </row>
    <row r="33" spans="1:12" hidden="1" x14ac:dyDescent="0.3">
      <c r="A33" s="10" t="s">
        <v>141</v>
      </c>
      <c r="B33" s="11" t="s">
        <v>13</v>
      </c>
      <c r="C33" s="11" t="s">
        <v>14</v>
      </c>
      <c r="D33" s="11" t="s">
        <v>142</v>
      </c>
      <c r="E33" s="11" t="s">
        <v>34</v>
      </c>
      <c r="F33" s="12">
        <v>43519</v>
      </c>
      <c r="G33" s="12"/>
      <c r="H33" s="13">
        <v>1258</v>
      </c>
      <c r="I33" s="11" t="s">
        <v>98</v>
      </c>
      <c r="J33" s="13">
        <v>5</v>
      </c>
      <c r="K33" s="11" t="s">
        <v>18</v>
      </c>
      <c r="L33" s="13"/>
    </row>
    <row r="34" spans="1:12" x14ac:dyDescent="0.3">
      <c r="A34" s="10" t="s">
        <v>98</v>
      </c>
      <c r="B34" s="11" t="s">
        <v>99</v>
      </c>
      <c r="C34" s="11" t="s">
        <v>100</v>
      </c>
      <c r="D34" s="11" t="s">
        <v>101</v>
      </c>
      <c r="E34" s="11" t="s">
        <v>16</v>
      </c>
      <c r="F34" s="12">
        <v>43530</v>
      </c>
      <c r="G34" s="12"/>
      <c r="H34" s="13">
        <v>953</v>
      </c>
      <c r="I34" s="11"/>
      <c r="J34" s="13">
        <v>5</v>
      </c>
      <c r="K34" s="11" t="s">
        <v>18</v>
      </c>
      <c r="L34" s="13"/>
    </row>
    <row r="35" spans="1:12" hidden="1" x14ac:dyDescent="0.3">
      <c r="A35" s="10" t="s">
        <v>157</v>
      </c>
      <c r="B35" s="11" t="s">
        <v>50</v>
      </c>
      <c r="C35" s="11" t="s">
        <v>51</v>
      </c>
      <c r="D35" s="11" t="str">
        <f>_xlfn.CONCAT("employees.",  RIGHT('Total employees'!$A55, 4), "@jogate.com")</f>
        <v>employees.1066@jogate.com</v>
      </c>
      <c r="E35" s="11" t="s">
        <v>34</v>
      </c>
      <c r="F35" s="12">
        <v>43531</v>
      </c>
      <c r="G35" s="12"/>
      <c r="H35" s="13">
        <v>1632</v>
      </c>
      <c r="I35" s="11" t="s">
        <v>81</v>
      </c>
      <c r="J35" s="13">
        <v>3</v>
      </c>
      <c r="K35" s="11" t="s">
        <v>18</v>
      </c>
      <c r="L35" s="13"/>
    </row>
    <row r="36" spans="1:12" x14ac:dyDescent="0.3">
      <c r="A36" s="5" t="s">
        <v>221</v>
      </c>
      <c r="B36" s="6" t="s">
        <v>21</v>
      </c>
      <c r="C36" s="6" t="s">
        <v>22</v>
      </c>
      <c r="D36" s="6" t="s">
        <v>222</v>
      </c>
      <c r="E36" s="6" t="s">
        <v>16</v>
      </c>
      <c r="F36" s="7">
        <v>43534</v>
      </c>
      <c r="G36" s="7">
        <v>44606</v>
      </c>
      <c r="H36" s="8">
        <v>1750</v>
      </c>
      <c r="I36" s="6" t="s">
        <v>81</v>
      </c>
      <c r="J36" s="8">
        <v>4</v>
      </c>
      <c r="K36" s="6" t="s">
        <v>35</v>
      </c>
      <c r="L36" s="8"/>
    </row>
    <row r="37" spans="1:12" x14ac:dyDescent="0.3">
      <c r="A37" s="10" t="s">
        <v>285</v>
      </c>
      <c r="B37" s="11" t="s">
        <v>50</v>
      </c>
      <c r="C37" s="11" t="s">
        <v>70</v>
      </c>
      <c r="D37" s="11" t="s">
        <v>286</v>
      </c>
      <c r="E37" s="11" t="s">
        <v>16</v>
      </c>
      <c r="F37" s="12">
        <v>43545</v>
      </c>
      <c r="G37" s="12"/>
      <c r="H37" s="13">
        <v>1986</v>
      </c>
      <c r="I37" s="11" t="s">
        <v>210</v>
      </c>
      <c r="J37" s="13">
        <v>5</v>
      </c>
      <c r="K37" s="11" t="s">
        <v>18</v>
      </c>
      <c r="L37" s="13"/>
    </row>
    <row r="38" spans="1:12" x14ac:dyDescent="0.3">
      <c r="A38" s="5" t="s">
        <v>307</v>
      </c>
      <c r="B38" s="6" t="s">
        <v>31</v>
      </c>
      <c r="C38" s="6" t="s">
        <v>74</v>
      </c>
      <c r="D38" s="6" t="s">
        <v>308</v>
      </c>
      <c r="E38" s="6" t="s">
        <v>16</v>
      </c>
      <c r="F38" s="7">
        <v>43553</v>
      </c>
      <c r="G38" s="7"/>
      <c r="H38" s="8">
        <v>1250</v>
      </c>
      <c r="I38" s="6" t="s">
        <v>64</v>
      </c>
      <c r="J38" s="8">
        <v>2</v>
      </c>
      <c r="K38" s="6" t="s">
        <v>18</v>
      </c>
      <c r="L38" s="8"/>
    </row>
    <row r="39" spans="1:12" x14ac:dyDescent="0.3">
      <c r="A39" s="5" t="s">
        <v>128</v>
      </c>
      <c r="B39" s="6" t="s">
        <v>45</v>
      </c>
      <c r="C39" s="6" t="s">
        <v>97</v>
      </c>
      <c r="D39" s="6" t="s">
        <v>231</v>
      </c>
      <c r="E39" s="6" t="s">
        <v>16</v>
      </c>
      <c r="F39" s="7">
        <v>43560</v>
      </c>
      <c r="G39" s="7"/>
      <c r="H39" s="8">
        <v>1039</v>
      </c>
      <c r="I39" s="6"/>
      <c r="J39" s="8">
        <v>3</v>
      </c>
      <c r="K39" s="6" t="s">
        <v>18</v>
      </c>
      <c r="L39" s="8"/>
    </row>
    <row r="40" spans="1:12" hidden="1" x14ac:dyDescent="0.3">
      <c r="A40" s="10" t="s">
        <v>84</v>
      </c>
      <c r="B40" s="11" t="s">
        <v>45</v>
      </c>
      <c r="C40" s="11" t="s">
        <v>97</v>
      </c>
      <c r="D40" s="11" t="s">
        <v>295</v>
      </c>
      <c r="E40" s="11" t="s">
        <v>34</v>
      </c>
      <c r="F40" s="12">
        <v>43560</v>
      </c>
      <c r="G40" s="12"/>
      <c r="H40" s="13">
        <v>448</v>
      </c>
      <c r="I40" s="11"/>
      <c r="J40" s="13">
        <v>4</v>
      </c>
      <c r="K40" s="11" t="s">
        <v>18</v>
      </c>
      <c r="L40" s="13"/>
    </row>
    <row r="41" spans="1:12" x14ac:dyDescent="0.3">
      <c r="A41" s="10" t="s">
        <v>250</v>
      </c>
      <c r="B41" s="11" t="s">
        <v>61</v>
      </c>
      <c r="C41" s="11" t="s">
        <v>78</v>
      </c>
      <c r="D41" s="11" t="s">
        <v>251</v>
      </c>
      <c r="E41" s="11" t="s">
        <v>16</v>
      </c>
      <c r="F41" s="12">
        <v>43566</v>
      </c>
      <c r="G41" s="12"/>
      <c r="H41" s="13">
        <v>463</v>
      </c>
      <c r="I41" s="11" t="s">
        <v>37</v>
      </c>
      <c r="J41" s="13">
        <v>3</v>
      </c>
      <c r="K41" s="11" t="s">
        <v>18</v>
      </c>
      <c r="L41" s="13"/>
    </row>
    <row r="42" spans="1:12" hidden="1" x14ac:dyDescent="0.3">
      <c r="A42" s="10" t="s">
        <v>291</v>
      </c>
      <c r="B42" s="11" t="s">
        <v>31</v>
      </c>
      <c r="C42" s="11" t="s">
        <v>74</v>
      </c>
      <c r="D42" s="11" t="s">
        <v>292</v>
      </c>
      <c r="E42" s="11" t="s">
        <v>34</v>
      </c>
      <c r="F42" s="12">
        <v>43579</v>
      </c>
      <c r="G42" s="12"/>
      <c r="H42" s="13">
        <v>802</v>
      </c>
      <c r="I42" s="11" t="s">
        <v>121</v>
      </c>
      <c r="J42" s="13">
        <v>2</v>
      </c>
      <c r="K42" s="11" t="s">
        <v>18</v>
      </c>
      <c r="L42" s="13"/>
    </row>
    <row r="43" spans="1:12" x14ac:dyDescent="0.3">
      <c r="A43" s="10" t="s">
        <v>376</v>
      </c>
      <c r="B43" s="11" t="s">
        <v>45</v>
      </c>
      <c r="C43" s="11" t="s">
        <v>46</v>
      </c>
      <c r="D43" s="11" t="s">
        <v>377</v>
      </c>
      <c r="E43" s="11" t="s">
        <v>24</v>
      </c>
      <c r="F43" s="12">
        <v>43594</v>
      </c>
      <c r="G43" s="12"/>
      <c r="H43" s="13">
        <v>1461</v>
      </c>
      <c r="I43" s="11" t="s">
        <v>41</v>
      </c>
      <c r="J43" s="13">
        <v>3</v>
      </c>
      <c r="K43" s="11" t="s">
        <v>18</v>
      </c>
      <c r="L43" s="13"/>
    </row>
    <row r="44" spans="1:12" x14ac:dyDescent="0.3">
      <c r="A44" s="5" t="s">
        <v>348</v>
      </c>
      <c r="B44" s="6" t="s">
        <v>50</v>
      </c>
      <c r="C44" s="6" t="s">
        <v>51</v>
      </c>
      <c r="D44" s="6" t="s">
        <v>349</v>
      </c>
      <c r="E44" s="6" t="s">
        <v>16</v>
      </c>
      <c r="F44" s="7">
        <v>43601</v>
      </c>
      <c r="G44" s="7"/>
      <c r="H44" s="8">
        <v>1953</v>
      </c>
      <c r="I44" s="6" t="s">
        <v>53</v>
      </c>
      <c r="J44" s="8">
        <v>3</v>
      </c>
      <c r="K44" s="6" t="s">
        <v>18</v>
      </c>
      <c r="L44" s="8"/>
    </row>
    <row r="45" spans="1:12" x14ac:dyDescent="0.3">
      <c r="A45" s="10" t="s">
        <v>117</v>
      </c>
      <c r="B45" s="11" t="s">
        <v>31</v>
      </c>
      <c r="C45" s="11" t="s">
        <v>32</v>
      </c>
      <c r="D45" s="11" t="str">
        <f>_xlfn.CONCAT("employees.",  RIGHT('Total employees'!$A39, 4), "@jogate.com")</f>
        <v>employees.1099@jogate.com</v>
      </c>
      <c r="E45" s="11" t="s">
        <v>24</v>
      </c>
      <c r="F45" s="12">
        <v>43620</v>
      </c>
      <c r="G45" s="12"/>
      <c r="H45" s="13">
        <v>1755</v>
      </c>
      <c r="I45" s="11"/>
      <c r="J45" s="13">
        <v>5</v>
      </c>
      <c r="K45" s="11" t="s">
        <v>18</v>
      </c>
      <c r="L45" s="13"/>
    </row>
    <row r="46" spans="1:12" hidden="1" x14ac:dyDescent="0.3">
      <c r="A46" s="5" t="s">
        <v>234</v>
      </c>
      <c r="B46" s="6" t="s">
        <v>99</v>
      </c>
      <c r="C46" s="6" t="s">
        <v>138</v>
      </c>
      <c r="D46" s="6" t="str">
        <f>_xlfn.CONCAT("employees.",  RIGHT('Total employees'!$A102, 4), "@jogate.com")</f>
        <v>employees.1074@jogate.com</v>
      </c>
      <c r="E46" s="6" t="s">
        <v>34</v>
      </c>
      <c r="F46" s="7">
        <v>43633</v>
      </c>
      <c r="G46" s="7"/>
      <c r="H46" s="8">
        <v>348</v>
      </c>
      <c r="I46" s="6" t="s">
        <v>104</v>
      </c>
      <c r="J46" s="8">
        <v>3</v>
      </c>
      <c r="K46" s="6" t="s">
        <v>18</v>
      </c>
      <c r="L46" s="8"/>
    </row>
    <row r="47" spans="1:12" hidden="1" x14ac:dyDescent="0.3">
      <c r="A47" s="10" t="s">
        <v>270</v>
      </c>
      <c r="B47" s="11" t="s">
        <v>99</v>
      </c>
      <c r="C47" s="11" t="s">
        <v>125</v>
      </c>
      <c r="D47" s="11" t="s">
        <v>271</v>
      </c>
      <c r="E47" s="11" t="s">
        <v>34</v>
      </c>
      <c r="F47" s="12">
        <v>43663</v>
      </c>
      <c r="G47" s="12"/>
      <c r="H47" s="13">
        <v>779</v>
      </c>
      <c r="I47" s="11" t="s">
        <v>56</v>
      </c>
      <c r="J47" s="13">
        <v>2</v>
      </c>
      <c r="K47" s="11" t="s">
        <v>18</v>
      </c>
      <c r="L47" s="13"/>
    </row>
    <row r="48" spans="1:12" x14ac:dyDescent="0.3">
      <c r="A48" s="5" t="s">
        <v>245</v>
      </c>
      <c r="B48" s="6" t="s">
        <v>45</v>
      </c>
      <c r="C48" s="6" t="s">
        <v>58</v>
      </c>
      <c r="D48" s="6" t="str">
        <f>_xlfn.CONCAT("employees.",  RIGHT('Total employees'!$A114, 4), "@jogate.com")</f>
        <v>employees.1168@jogate.com</v>
      </c>
      <c r="E48" s="6" t="s">
        <v>16</v>
      </c>
      <c r="F48" s="7">
        <v>43664</v>
      </c>
      <c r="G48" s="7"/>
      <c r="H48" s="8">
        <v>620</v>
      </c>
      <c r="I48" s="6" t="s">
        <v>140</v>
      </c>
      <c r="J48" s="8">
        <v>5</v>
      </c>
      <c r="K48" s="6" t="s">
        <v>18</v>
      </c>
      <c r="L48" s="8"/>
    </row>
    <row r="49" spans="1:12" x14ac:dyDescent="0.3">
      <c r="A49" s="5" t="s">
        <v>344</v>
      </c>
      <c r="B49" s="6" t="s">
        <v>21</v>
      </c>
      <c r="C49" s="6" t="s">
        <v>133</v>
      </c>
      <c r="D49" s="6" t="s">
        <v>345</v>
      </c>
      <c r="E49" s="6" t="s">
        <v>16</v>
      </c>
      <c r="F49" s="7">
        <v>43667</v>
      </c>
      <c r="G49" s="7"/>
      <c r="H49" s="8">
        <v>1900</v>
      </c>
      <c r="I49" s="6" t="s">
        <v>151</v>
      </c>
      <c r="J49" s="8">
        <v>5</v>
      </c>
      <c r="K49" s="6" t="s">
        <v>18</v>
      </c>
      <c r="L49" s="8"/>
    </row>
    <row r="50" spans="1:12" hidden="1" x14ac:dyDescent="0.3">
      <c r="A50" s="10" t="s">
        <v>342</v>
      </c>
      <c r="B50" s="11" t="s">
        <v>42</v>
      </c>
      <c r="C50" s="11" t="s">
        <v>83</v>
      </c>
      <c r="D50" s="11" t="s">
        <v>343</v>
      </c>
      <c r="E50" s="11" t="s">
        <v>34</v>
      </c>
      <c r="F50" s="12">
        <v>43734</v>
      </c>
      <c r="G50" s="12"/>
      <c r="H50" s="13">
        <v>2049</v>
      </c>
      <c r="I50" s="11" t="s">
        <v>171</v>
      </c>
      <c r="J50" s="13">
        <v>5</v>
      </c>
      <c r="K50" s="11" t="s">
        <v>18</v>
      </c>
      <c r="L50" s="13"/>
    </row>
    <row r="51" spans="1:12" x14ac:dyDescent="0.3">
      <c r="A51" s="5" t="s">
        <v>171</v>
      </c>
      <c r="B51" s="6" t="s">
        <v>31</v>
      </c>
      <c r="C51" s="6" t="s">
        <v>32</v>
      </c>
      <c r="D51" s="6" t="s">
        <v>355</v>
      </c>
      <c r="E51" s="6" t="s">
        <v>24</v>
      </c>
      <c r="F51" s="7">
        <v>43744</v>
      </c>
      <c r="G51" s="7"/>
      <c r="H51" s="8">
        <v>1885</v>
      </c>
      <c r="I51" s="6"/>
      <c r="J51" s="8">
        <v>4</v>
      </c>
      <c r="K51" s="6" t="s">
        <v>18</v>
      </c>
      <c r="L51" s="8"/>
    </row>
    <row r="52" spans="1:12" hidden="1" x14ac:dyDescent="0.3">
      <c r="A52" s="5" t="s">
        <v>289</v>
      </c>
      <c r="B52" s="6" t="s">
        <v>99</v>
      </c>
      <c r="C52" s="6" t="s">
        <v>138</v>
      </c>
      <c r="D52" s="6" t="s">
        <v>290</v>
      </c>
      <c r="E52" s="6" t="s">
        <v>34</v>
      </c>
      <c r="F52" s="7">
        <v>43754</v>
      </c>
      <c r="G52" s="7">
        <v>45258</v>
      </c>
      <c r="H52" s="8">
        <v>1769</v>
      </c>
      <c r="I52" s="6" t="s">
        <v>150</v>
      </c>
      <c r="J52" s="8">
        <v>5</v>
      </c>
      <c r="K52" s="6" t="s">
        <v>35</v>
      </c>
      <c r="L52" s="8"/>
    </row>
    <row r="53" spans="1:12" hidden="1" x14ac:dyDescent="0.3">
      <c r="A53" s="5" t="s">
        <v>118</v>
      </c>
      <c r="B53" s="6" t="s">
        <v>61</v>
      </c>
      <c r="C53" s="6" t="s">
        <v>62</v>
      </c>
      <c r="D53" s="6" t="s">
        <v>119</v>
      </c>
      <c r="E53" s="6" t="s">
        <v>34</v>
      </c>
      <c r="F53" s="7">
        <v>43779</v>
      </c>
      <c r="G53" s="7"/>
      <c r="H53" s="8">
        <v>1859</v>
      </c>
      <c r="I53" s="6" t="s">
        <v>120</v>
      </c>
      <c r="J53" s="8">
        <v>3</v>
      </c>
      <c r="K53" s="6" t="s">
        <v>18</v>
      </c>
      <c r="L53" s="8"/>
    </row>
    <row r="54" spans="1:12" hidden="1" x14ac:dyDescent="0.3">
      <c r="A54" s="5" t="s">
        <v>399</v>
      </c>
      <c r="B54" s="6" t="s">
        <v>50</v>
      </c>
      <c r="C54" s="6" t="s">
        <v>51</v>
      </c>
      <c r="D54" s="6" t="s">
        <v>400</v>
      </c>
      <c r="E54" s="6" t="s">
        <v>34</v>
      </c>
      <c r="F54" s="7">
        <v>43787</v>
      </c>
      <c r="G54" s="7"/>
      <c r="H54" s="8">
        <v>1163</v>
      </c>
      <c r="I54" s="6" t="s">
        <v>84</v>
      </c>
      <c r="J54" s="8">
        <v>2</v>
      </c>
      <c r="K54" s="6" t="s">
        <v>18</v>
      </c>
      <c r="L54" s="8"/>
    </row>
    <row r="55" spans="1:12" hidden="1" x14ac:dyDescent="0.3">
      <c r="A55" s="10" t="s">
        <v>175</v>
      </c>
      <c r="B55" s="11" t="s">
        <v>61</v>
      </c>
      <c r="C55" s="11" t="s">
        <v>78</v>
      </c>
      <c r="D55" s="11" t="s">
        <v>176</v>
      </c>
      <c r="E55" s="11" t="s">
        <v>34</v>
      </c>
      <c r="F55" s="12">
        <v>43817</v>
      </c>
      <c r="G55" s="12">
        <v>44765</v>
      </c>
      <c r="H55" s="13">
        <v>1573</v>
      </c>
      <c r="I55" s="11" t="s">
        <v>141</v>
      </c>
      <c r="J55" s="13">
        <v>3</v>
      </c>
      <c r="K55" s="11" t="s">
        <v>35</v>
      </c>
      <c r="L55" s="13"/>
    </row>
    <row r="56" spans="1:12" x14ac:dyDescent="0.3">
      <c r="A56" s="10" t="s">
        <v>120</v>
      </c>
      <c r="B56" s="11" t="s">
        <v>45</v>
      </c>
      <c r="C56" s="11" t="s">
        <v>97</v>
      </c>
      <c r="D56" s="11" t="s">
        <v>213</v>
      </c>
      <c r="E56" s="11" t="s">
        <v>24</v>
      </c>
      <c r="F56" s="12">
        <v>43833</v>
      </c>
      <c r="G56" s="12">
        <v>44836</v>
      </c>
      <c r="H56" s="13">
        <v>425</v>
      </c>
      <c r="I56" s="11"/>
      <c r="J56" s="13">
        <v>4</v>
      </c>
      <c r="K56" s="11" t="s">
        <v>35</v>
      </c>
      <c r="L56" s="13"/>
    </row>
    <row r="57" spans="1:12" hidden="1" x14ac:dyDescent="0.3">
      <c r="A57" s="10" t="s">
        <v>328</v>
      </c>
      <c r="B57" s="11" t="s">
        <v>27</v>
      </c>
      <c r="C57" s="11" t="s">
        <v>90</v>
      </c>
      <c r="D57" s="11" t="s">
        <v>329</v>
      </c>
      <c r="E57" s="11" t="s">
        <v>34</v>
      </c>
      <c r="F57" s="12">
        <v>43839</v>
      </c>
      <c r="G57" s="12"/>
      <c r="H57" s="13">
        <v>544</v>
      </c>
      <c r="I57" s="11" t="s">
        <v>236</v>
      </c>
      <c r="J57" s="13">
        <v>4</v>
      </c>
      <c r="K57" s="11" t="s">
        <v>18</v>
      </c>
      <c r="L57" s="13"/>
    </row>
    <row r="58" spans="1:12" hidden="1" x14ac:dyDescent="0.3">
      <c r="A58" s="10" t="s">
        <v>107</v>
      </c>
      <c r="B58" s="11" t="s">
        <v>31</v>
      </c>
      <c r="C58" s="11" t="s">
        <v>32</v>
      </c>
      <c r="D58" s="11" t="s">
        <v>362</v>
      </c>
      <c r="E58" s="11" t="s">
        <v>34</v>
      </c>
      <c r="F58" s="12">
        <v>43841</v>
      </c>
      <c r="G58" s="12"/>
      <c r="H58" s="13">
        <v>1476</v>
      </c>
      <c r="I58" s="11"/>
      <c r="J58" s="13">
        <v>4</v>
      </c>
      <c r="K58" s="11" t="s">
        <v>18</v>
      </c>
      <c r="L58" s="13"/>
    </row>
    <row r="59" spans="1:12" x14ac:dyDescent="0.3">
      <c r="A59" s="10" t="s">
        <v>95</v>
      </c>
      <c r="B59" s="11" t="s">
        <v>50</v>
      </c>
      <c r="C59" s="11" t="s">
        <v>70</v>
      </c>
      <c r="D59" s="11" t="str">
        <f>_xlfn.CONCAT("employees.",  RIGHT('Total employees'!$A29, 4), "@jogate.com")</f>
        <v>employees.1031@jogate.com</v>
      </c>
      <c r="E59" s="11" t="s">
        <v>16</v>
      </c>
      <c r="F59" s="12">
        <v>43890</v>
      </c>
      <c r="G59" s="12"/>
      <c r="H59" s="13">
        <v>637</v>
      </c>
      <c r="I59" s="11" t="s">
        <v>96</v>
      </c>
      <c r="J59" s="13">
        <v>2</v>
      </c>
      <c r="K59" s="11" t="s">
        <v>18</v>
      </c>
      <c r="L59" s="13"/>
    </row>
    <row r="60" spans="1:12" hidden="1" x14ac:dyDescent="0.3">
      <c r="A60" s="10" t="s">
        <v>244</v>
      </c>
      <c r="B60" s="11" t="s">
        <v>45</v>
      </c>
      <c r="C60" s="11" t="s">
        <v>46</v>
      </c>
      <c r="D60" s="11" t="str">
        <f>_xlfn.CONCAT("employees.",  RIGHT('Total employees'!$A113, 4), "@jogate.com")</f>
        <v>employees.1003@jogate.com</v>
      </c>
      <c r="E60" s="11" t="s">
        <v>34</v>
      </c>
      <c r="F60" s="12">
        <v>43895</v>
      </c>
      <c r="G60" s="12"/>
      <c r="H60" s="13">
        <v>923</v>
      </c>
      <c r="I60" s="11" t="s">
        <v>91</v>
      </c>
      <c r="J60" s="13">
        <v>3</v>
      </c>
      <c r="K60" s="11" t="s">
        <v>18</v>
      </c>
      <c r="L60" s="13"/>
    </row>
    <row r="61" spans="1:12" hidden="1" x14ac:dyDescent="0.3">
      <c r="A61" s="5" t="s">
        <v>214</v>
      </c>
      <c r="B61" s="6" t="s">
        <v>50</v>
      </c>
      <c r="C61" s="6" t="s">
        <v>51</v>
      </c>
      <c r="D61" s="6" t="s">
        <v>215</v>
      </c>
      <c r="E61" s="6" t="s">
        <v>34</v>
      </c>
      <c r="F61" s="7">
        <v>43899</v>
      </c>
      <c r="G61" s="7">
        <v>44681</v>
      </c>
      <c r="H61" s="8">
        <v>1591</v>
      </c>
      <c r="I61" s="6" t="s">
        <v>68</v>
      </c>
      <c r="J61" s="8">
        <v>5</v>
      </c>
      <c r="K61" s="6" t="s">
        <v>35</v>
      </c>
      <c r="L61" s="8"/>
    </row>
    <row r="62" spans="1:12" x14ac:dyDescent="0.3">
      <c r="A62" s="5" t="s">
        <v>73</v>
      </c>
      <c r="B62" s="6" t="s">
        <v>31</v>
      </c>
      <c r="C62" s="6" t="s">
        <v>74</v>
      </c>
      <c r="D62" s="6" t="str">
        <f>_xlfn.CONCAT("employees.",  RIGHT('Total employees'!$A18, 4), "@jogate.com")</f>
        <v>employees.1123@jogate.com</v>
      </c>
      <c r="E62" s="6" t="s">
        <v>16</v>
      </c>
      <c r="F62" s="7">
        <v>43911</v>
      </c>
      <c r="G62" s="7"/>
      <c r="H62" s="8">
        <v>2045</v>
      </c>
      <c r="I62" s="6" t="s">
        <v>41</v>
      </c>
      <c r="J62" s="8">
        <v>4</v>
      </c>
      <c r="K62" s="6" t="s">
        <v>18</v>
      </c>
      <c r="L62" s="8"/>
    </row>
    <row r="63" spans="1:12" hidden="1" x14ac:dyDescent="0.3">
      <c r="A63" s="10" t="s">
        <v>135</v>
      </c>
      <c r="B63" s="11" t="s">
        <v>21</v>
      </c>
      <c r="C63" s="11" t="s">
        <v>22</v>
      </c>
      <c r="D63" s="11" t="s">
        <v>136</v>
      </c>
      <c r="E63" s="11" t="s">
        <v>34</v>
      </c>
      <c r="F63" s="12">
        <v>43925</v>
      </c>
      <c r="G63" s="12"/>
      <c r="H63" s="13">
        <v>530</v>
      </c>
      <c r="I63" s="11" t="s">
        <v>37</v>
      </c>
      <c r="J63" s="13">
        <v>5</v>
      </c>
      <c r="K63" s="11" t="s">
        <v>18</v>
      </c>
      <c r="L63" s="13"/>
    </row>
    <row r="64" spans="1:12" x14ac:dyDescent="0.3">
      <c r="A64" s="5" t="s">
        <v>381</v>
      </c>
      <c r="B64" s="6" t="s">
        <v>45</v>
      </c>
      <c r="C64" s="6" t="s">
        <v>46</v>
      </c>
      <c r="D64" s="6" t="s">
        <v>382</v>
      </c>
      <c r="E64" s="6" t="s">
        <v>24</v>
      </c>
      <c r="F64" s="7">
        <v>43934</v>
      </c>
      <c r="G64" s="7">
        <v>44550</v>
      </c>
      <c r="H64" s="8">
        <v>1204</v>
      </c>
      <c r="I64" s="6" t="s">
        <v>98</v>
      </c>
      <c r="J64" s="8">
        <v>4</v>
      </c>
      <c r="K64" s="6" t="s">
        <v>35</v>
      </c>
      <c r="L64" s="8"/>
    </row>
    <row r="65" spans="1:12" hidden="1" x14ac:dyDescent="0.3">
      <c r="A65" s="5" t="s">
        <v>40</v>
      </c>
      <c r="B65" s="6" t="s">
        <v>27</v>
      </c>
      <c r="C65" s="6" t="s">
        <v>28</v>
      </c>
      <c r="D65" s="6" t="str">
        <f>_xlfn.CONCAT("employees.",  RIGHT('Total employees'!$A8, 4), "@jogate.com")</f>
        <v>employees.1131@jogate.com</v>
      </c>
      <c r="E65" s="6" t="s">
        <v>34</v>
      </c>
      <c r="F65" s="7">
        <v>43935</v>
      </c>
      <c r="G65" s="7"/>
      <c r="H65" s="8">
        <v>861</v>
      </c>
      <c r="I65" s="6"/>
      <c r="J65" s="8">
        <v>4</v>
      </c>
      <c r="K65" s="6" t="s">
        <v>18</v>
      </c>
      <c r="L65" s="8"/>
    </row>
    <row r="66" spans="1:12" x14ac:dyDescent="0.3">
      <c r="A66" s="10" t="s">
        <v>193</v>
      </c>
      <c r="B66" s="11" t="s">
        <v>50</v>
      </c>
      <c r="C66" s="11" t="s">
        <v>51</v>
      </c>
      <c r="D66" s="11" t="str">
        <f>_xlfn.CONCAT("employees.",  RIGHT('Total employees'!$A79, 4), "@jogate.com")</f>
        <v>employees.1193@jogate.com</v>
      </c>
      <c r="E66" s="11" t="s">
        <v>16</v>
      </c>
      <c r="F66" s="12">
        <v>43935</v>
      </c>
      <c r="G66" s="12"/>
      <c r="H66" s="13">
        <v>563</v>
      </c>
      <c r="I66" s="11" t="s">
        <v>41</v>
      </c>
      <c r="J66" s="13">
        <v>3</v>
      </c>
      <c r="K66" s="11" t="s">
        <v>18</v>
      </c>
      <c r="L66" s="13"/>
    </row>
    <row r="67" spans="1:12" hidden="1" x14ac:dyDescent="0.3">
      <c r="A67" s="10" t="s">
        <v>96</v>
      </c>
      <c r="B67" s="11" t="s">
        <v>31</v>
      </c>
      <c r="C67" s="11" t="s">
        <v>32</v>
      </c>
      <c r="D67" s="11" t="s">
        <v>200</v>
      </c>
      <c r="E67" s="11" t="s">
        <v>34</v>
      </c>
      <c r="F67" s="12">
        <v>43944</v>
      </c>
      <c r="G67" s="12"/>
      <c r="H67" s="13">
        <v>1563</v>
      </c>
      <c r="I67" s="11"/>
      <c r="J67" s="13">
        <v>3</v>
      </c>
      <c r="K67" s="11" t="s">
        <v>18</v>
      </c>
      <c r="L67" s="13"/>
    </row>
    <row r="68" spans="1:12" hidden="1" x14ac:dyDescent="0.3">
      <c r="A68" s="10" t="s">
        <v>312</v>
      </c>
      <c r="B68" s="11" t="s">
        <v>42</v>
      </c>
      <c r="C68" s="11" t="s">
        <v>43</v>
      </c>
      <c r="D68" s="11" t="s">
        <v>313</v>
      </c>
      <c r="E68" s="11" t="s">
        <v>34</v>
      </c>
      <c r="F68" s="12">
        <v>43963</v>
      </c>
      <c r="G68" s="12"/>
      <c r="H68" s="13">
        <v>1928</v>
      </c>
      <c r="I68" s="11"/>
      <c r="J68" s="13">
        <v>2</v>
      </c>
      <c r="K68" s="11" t="s">
        <v>18</v>
      </c>
      <c r="L68" s="13"/>
    </row>
    <row r="69" spans="1:12" hidden="1" x14ac:dyDescent="0.3">
      <c r="A69" s="10" t="s">
        <v>68</v>
      </c>
      <c r="B69" s="11" t="s">
        <v>13</v>
      </c>
      <c r="C69" s="11" t="s">
        <v>14</v>
      </c>
      <c r="D69" s="11" t="s">
        <v>340</v>
      </c>
      <c r="E69" s="11" t="s">
        <v>34</v>
      </c>
      <c r="F69" s="12">
        <v>43969</v>
      </c>
      <c r="G69" s="12">
        <v>45558</v>
      </c>
      <c r="H69" s="13">
        <v>697</v>
      </c>
      <c r="I69" s="11" t="s">
        <v>40</v>
      </c>
      <c r="J69" s="13">
        <v>4</v>
      </c>
      <c r="K69" s="11" t="s">
        <v>35</v>
      </c>
      <c r="L69" s="13"/>
    </row>
    <row r="70" spans="1:12" x14ac:dyDescent="0.3">
      <c r="A70" s="5" t="s">
        <v>194</v>
      </c>
      <c r="B70" s="6" t="s">
        <v>99</v>
      </c>
      <c r="C70" s="6" t="s">
        <v>125</v>
      </c>
      <c r="D70" s="6" t="s">
        <v>195</v>
      </c>
      <c r="E70" s="6" t="s">
        <v>16</v>
      </c>
      <c r="F70" s="7">
        <v>44015</v>
      </c>
      <c r="G70" s="7"/>
      <c r="H70" s="8">
        <v>541</v>
      </c>
      <c r="I70" s="6" t="s">
        <v>64</v>
      </c>
      <c r="J70" s="8">
        <v>5</v>
      </c>
      <c r="K70" s="6" t="s">
        <v>18</v>
      </c>
      <c r="L70" s="8"/>
    </row>
    <row r="71" spans="1:12" x14ac:dyDescent="0.3">
      <c r="A71" s="5" t="s">
        <v>137</v>
      </c>
      <c r="B71" s="6" t="s">
        <v>99</v>
      </c>
      <c r="C71" s="6" t="s">
        <v>138</v>
      </c>
      <c r="D71" s="6" t="s">
        <v>139</v>
      </c>
      <c r="E71" s="6" t="s">
        <v>16</v>
      </c>
      <c r="F71" s="7">
        <v>44043</v>
      </c>
      <c r="G71" s="7"/>
      <c r="H71" s="8">
        <v>1791</v>
      </c>
      <c r="I71" s="6" t="s">
        <v>140</v>
      </c>
      <c r="J71" s="8">
        <v>2</v>
      </c>
      <c r="K71" s="6" t="s">
        <v>18</v>
      </c>
      <c r="L71" s="8"/>
    </row>
    <row r="72" spans="1:12" x14ac:dyDescent="0.3">
      <c r="A72" s="5" t="s">
        <v>310</v>
      </c>
      <c r="B72" s="6" t="s">
        <v>21</v>
      </c>
      <c r="C72" s="6" t="s">
        <v>133</v>
      </c>
      <c r="D72" s="6" t="s">
        <v>311</v>
      </c>
      <c r="E72" s="6" t="s">
        <v>16</v>
      </c>
      <c r="F72" s="7">
        <v>44049</v>
      </c>
      <c r="G72" s="7"/>
      <c r="H72" s="8">
        <v>1245</v>
      </c>
      <c r="I72" s="6" t="s">
        <v>96</v>
      </c>
      <c r="J72" s="8">
        <v>4</v>
      </c>
      <c r="K72" s="6" t="s">
        <v>18</v>
      </c>
      <c r="L72" s="8"/>
    </row>
    <row r="73" spans="1:12" x14ac:dyDescent="0.3">
      <c r="A73" s="10" t="s">
        <v>336</v>
      </c>
      <c r="B73" s="11" t="s">
        <v>50</v>
      </c>
      <c r="C73" s="11" t="s">
        <v>51</v>
      </c>
      <c r="D73" s="11" t="s">
        <v>337</v>
      </c>
      <c r="E73" s="11" t="s">
        <v>16</v>
      </c>
      <c r="F73" s="12">
        <v>44075</v>
      </c>
      <c r="G73" s="12"/>
      <c r="H73" s="13">
        <v>1392</v>
      </c>
      <c r="I73" s="11" t="s">
        <v>237</v>
      </c>
      <c r="J73" s="13">
        <v>5</v>
      </c>
      <c r="K73" s="11" t="s">
        <v>18</v>
      </c>
      <c r="L73" s="13"/>
    </row>
    <row r="74" spans="1:12" x14ac:dyDescent="0.3">
      <c r="A74" s="5" t="s">
        <v>44</v>
      </c>
      <c r="B74" s="6" t="s">
        <v>45</v>
      </c>
      <c r="C74" s="6" t="s">
        <v>46</v>
      </c>
      <c r="D74" s="6" t="s">
        <v>47</v>
      </c>
      <c r="E74" s="6" t="s">
        <v>24</v>
      </c>
      <c r="F74" s="7">
        <v>44081</v>
      </c>
      <c r="G74" s="7"/>
      <c r="H74" s="8">
        <v>723</v>
      </c>
      <c r="I74" s="6" t="s">
        <v>48</v>
      </c>
      <c r="J74" s="8">
        <v>3</v>
      </c>
      <c r="K74" s="6" t="s">
        <v>18</v>
      </c>
      <c r="L74" s="8"/>
    </row>
    <row r="75" spans="1:12" hidden="1" x14ac:dyDescent="0.3">
      <c r="A75" s="10" t="s">
        <v>350</v>
      </c>
      <c r="B75" s="11" t="s">
        <v>42</v>
      </c>
      <c r="C75" s="11" t="s">
        <v>83</v>
      </c>
      <c r="D75" s="11" t="s">
        <v>351</v>
      </c>
      <c r="E75" s="11" t="s">
        <v>34</v>
      </c>
      <c r="F75" s="12">
        <v>44139</v>
      </c>
      <c r="G75" s="12"/>
      <c r="H75" s="13">
        <v>1483</v>
      </c>
      <c r="I75" s="11" t="s">
        <v>88</v>
      </c>
      <c r="J75" s="13">
        <v>4</v>
      </c>
      <c r="K75" s="11" t="s">
        <v>18</v>
      </c>
      <c r="L75" s="13"/>
    </row>
    <row r="76" spans="1:12" x14ac:dyDescent="0.3">
      <c r="A76" s="5" t="s">
        <v>210</v>
      </c>
      <c r="B76" s="6" t="s">
        <v>42</v>
      </c>
      <c r="C76" s="6" t="s">
        <v>122</v>
      </c>
      <c r="D76" s="6" t="s">
        <v>341</v>
      </c>
      <c r="E76" s="6" t="s">
        <v>24</v>
      </c>
      <c r="F76" s="7">
        <v>44149</v>
      </c>
      <c r="G76" s="7"/>
      <c r="H76" s="8">
        <v>666</v>
      </c>
      <c r="I76" s="6"/>
      <c r="J76" s="8">
        <v>4</v>
      </c>
      <c r="K76" s="6" t="s">
        <v>18</v>
      </c>
      <c r="L76" s="8"/>
    </row>
    <row r="77" spans="1:12" hidden="1" x14ac:dyDescent="0.3">
      <c r="A77" s="5" t="s">
        <v>36</v>
      </c>
      <c r="B77" s="6" t="s">
        <v>21</v>
      </c>
      <c r="C77" s="6" t="s">
        <v>22</v>
      </c>
      <c r="D77" s="6" t="str">
        <f>_xlfn.CONCAT("employees.",  RIGHT('Total employees'!$A6, 4), "@jogate.com")</f>
        <v>employees.1122@jogate.com</v>
      </c>
      <c r="E77" s="6" t="s">
        <v>34</v>
      </c>
      <c r="F77" s="7">
        <v>44155</v>
      </c>
      <c r="G77" s="7">
        <v>45318</v>
      </c>
      <c r="H77" s="8">
        <v>1704</v>
      </c>
      <c r="I77" s="6" t="s">
        <v>37</v>
      </c>
      <c r="J77" s="8">
        <v>5</v>
      </c>
      <c r="K77" s="6" t="s">
        <v>35</v>
      </c>
      <c r="L77" s="8"/>
    </row>
    <row r="78" spans="1:12" hidden="1" x14ac:dyDescent="0.3">
      <c r="A78" s="5" t="s">
        <v>54</v>
      </c>
      <c r="B78" s="6" t="s">
        <v>50</v>
      </c>
      <c r="C78" s="6" t="s">
        <v>51</v>
      </c>
      <c r="D78" s="6" t="s">
        <v>55</v>
      </c>
      <c r="E78" s="6" t="s">
        <v>34</v>
      </c>
      <c r="F78" s="7">
        <v>44180</v>
      </c>
      <c r="G78" s="7">
        <v>46048</v>
      </c>
      <c r="H78" s="8">
        <v>2011</v>
      </c>
      <c r="I78" s="6" t="s">
        <v>56</v>
      </c>
      <c r="J78" s="8">
        <v>2</v>
      </c>
      <c r="K78" s="6" t="s">
        <v>35</v>
      </c>
      <c r="L78" s="8"/>
    </row>
    <row r="79" spans="1:12" x14ac:dyDescent="0.3">
      <c r="A79" s="5" t="s">
        <v>388</v>
      </c>
      <c r="B79" s="6" t="s">
        <v>50</v>
      </c>
      <c r="C79" s="6" t="s">
        <v>70</v>
      </c>
      <c r="D79" s="6" t="s">
        <v>389</v>
      </c>
      <c r="E79" s="6" t="s">
        <v>24</v>
      </c>
      <c r="F79" s="7">
        <v>44190</v>
      </c>
      <c r="G79" s="7"/>
      <c r="H79" s="8">
        <v>1279</v>
      </c>
      <c r="I79" s="6" t="s">
        <v>91</v>
      </c>
      <c r="J79" s="8">
        <v>5</v>
      </c>
      <c r="K79" s="6" t="s">
        <v>18</v>
      </c>
      <c r="L79" s="8"/>
    </row>
    <row r="80" spans="1:12" x14ac:dyDescent="0.3">
      <c r="A80" s="5" t="s">
        <v>192</v>
      </c>
      <c r="B80" s="6" t="s">
        <v>50</v>
      </c>
      <c r="C80" s="6" t="s">
        <v>51</v>
      </c>
      <c r="D80" s="6" t="str">
        <f>_xlfn.CONCAT("employees.",  RIGHT('Total employees'!$A78, 4), "@jogate.com")</f>
        <v>employees.1011@jogate.com</v>
      </c>
      <c r="E80" s="6" t="s">
        <v>24</v>
      </c>
      <c r="F80" s="7">
        <v>44197</v>
      </c>
      <c r="G80" s="7"/>
      <c r="H80" s="8">
        <v>1664</v>
      </c>
      <c r="I80" s="6" t="s">
        <v>140</v>
      </c>
      <c r="J80" s="8">
        <v>5</v>
      </c>
      <c r="K80" s="6" t="s">
        <v>18</v>
      </c>
      <c r="L80" s="8"/>
    </row>
    <row r="81" spans="1:12" hidden="1" x14ac:dyDescent="0.3">
      <c r="A81" s="10" t="s">
        <v>167</v>
      </c>
      <c r="B81" s="11" t="s">
        <v>61</v>
      </c>
      <c r="C81" s="11" t="s">
        <v>66</v>
      </c>
      <c r="D81" s="11" t="s">
        <v>168</v>
      </c>
      <c r="E81" s="11" t="s">
        <v>34</v>
      </c>
      <c r="F81" s="12">
        <v>44238</v>
      </c>
      <c r="G81" s="12"/>
      <c r="H81" s="13">
        <v>1832</v>
      </c>
      <c r="I81" s="11" t="s">
        <v>146</v>
      </c>
      <c r="J81" s="13">
        <v>4</v>
      </c>
      <c r="K81" s="11" t="s">
        <v>18</v>
      </c>
      <c r="L81" s="13"/>
    </row>
    <row r="82" spans="1:12" x14ac:dyDescent="0.3">
      <c r="A82" s="5" t="s">
        <v>318</v>
      </c>
      <c r="B82" s="6" t="s">
        <v>61</v>
      </c>
      <c r="C82" s="6" t="s">
        <v>78</v>
      </c>
      <c r="D82" s="6" t="s">
        <v>319</v>
      </c>
      <c r="E82" s="6" t="s">
        <v>16</v>
      </c>
      <c r="F82" s="7">
        <v>44253</v>
      </c>
      <c r="G82" s="7"/>
      <c r="H82" s="8">
        <v>1396</v>
      </c>
      <c r="I82" s="6" t="s">
        <v>120</v>
      </c>
      <c r="J82" s="8">
        <v>3</v>
      </c>
      <c r="K82" s="6" t="s">
        <v>18</v>
      </c>
      <c r="L82" s="8"/>
    </row>
    <row r="83" spans="1:12" x14ac:dyDescent="0.3">
      <c r="A83" s="10" t="s">
        <v>332</v>
      </c>
      <c r="B83" s="11" t="s">
        <v>45</v>
      </c>
      <c r="C83" s="11" t="s">
        <v>97</v>
      </c>
      <c r="D83" s="11" t="s">
        <v>333</v>
      </c>
      <c r="E83" s="11" t="s">
        <v>16</v>
      </c>
      <c r="F83" s="12">
        <v>44260</v>
      </c>
      <c r="G83" s="12"/>
      <c r="H83" s="13">
        <v>2010</v>
      </c>
      <c r="I83" s="11"/>
      <c r="J83" s="13">
        <v>3</v>
      </c>
      <c r="K83" s="11" t="s">
        <v>18</v>
      </c>
      <c r="L83" s="13"/>
    </row>
    <row r="84" spans="1:12" hidden="1" x14ac:dyDescent="0.3">
      <c r="A84" s="5" t="s">
        <v>240</v>
      </c>
      <c r="B84" s="6" t="s">
        <v>61</v>
      </c>
      <c r="C84" s="6" t="s">
        <v>66</v>
      </c>
      <c r="D84" s="6" t="str">
        <f>_xlfn.CONCAT("employees.",  RIGHT('Total employees'!$A110, 4), "@jogate.com")</f>
        <v>employees.1045@jogate.com</v>
      </c>
      <c r="E84" s="6" t="s">
        <v>34</v>
      </c>
      <c r="F84" s="7">
        <v>44263</v>
      </c>
      <c r="G84" s="7"/>
      <c r="H84" s="8">
        <v>717</v>
      </c>
      <c r="I84" s="6" t="s">
        <v>241</v>
      </c>
      <c r="J84" s="8">
        <v>3</v>
      </c>
      <c r="K84" s="6" t="s">
        <v>18</v>
      </c>
      <c r="L84" s="8"/>
    </row>
    <row r="85" spans="1:12" x14ac:dyDescent="0.3">
      <c r="A85" s="5" t="s">
        <v>201</v>
      </c>
      <c r="B85" s="6" t="s">
        <v>21</v>
      </c>
      <c r="C85" s="6" t="s">
        <v>22</v>
      </c>
      <c r="D85" s="6" t="s">
        <v>202</v>
      </c>
      <c r="E85" s="6" t="s">
        <v>24</v>
      </c>
      <c r="F85" s="7">
        <v>44274</v>
      </c>
      <c r="G85" s="7">
        <v>44594</v>
      </c>
      <c r="H85" s="8">
        <v>1065</v>
      </c>
      <c r="I85" s="6" t="s">
        <v>203</v>
      </c>
      <c r="J85" s="8">
        <v>4</v>
      </c>
      <c r="K85" s="6" t="s">
        <v>35</v>
      </c>
      <c r="L85" s="8"/>
    </row>
    <row r="86" spans="1:12" hidden="1" x14ac:dyDescent="0.3">
      <c r="A86" s="10" t="s">
        <v>320</v>
      </c>
      <c r="B86" s="11" t="s">
        <v>31</v>
      </c>
      <c r="C86" s="11" t="s">
        <v>74</v>
      </c>
      <c r="D86" s="11" t="s">
        <v>321</v>
      </c>
      <c r="E86" s="11" t="s">
        <v>34</v>
      </c>
      <c r="F86" s="12">
        <v>44275</v>
      </c>
      <c r="G86" s="12"/>
      <c r="H86" s="13">
        <v>434</v>
      </c>
      <c r="I86" s="11" t="s">
        <v>93</v>
      </c>
      <c r="J86" s="13">
        <v>4</v>
      </c>
      <c r="K86" s="11" t="s">
        <v>18</v>
      </c>
      <c r="L86" s="13"/>
    </row>
    <row r="87" spans="1:12" x14ac:dyDescent="0.3">
      <c r="A87" s="10" t="s">
        <v>72</v>
      </c>
      <c r="B87" s="11" t="s">
        <v>21</v>
      </c>
      <c r="C87" s="11" t="s">
        <v>22</v>
      </c>
      <c r="D87" s="11" t="str">
        <f>_xlfn.CONCAT("employees.",  RIGHT('Total employees'!$A17, 4), "@jogate.com")</f>
        <v>employees.1107@jogate.com</v>
      </c>
      <c r="E87" s="11" t="s">
        <v>16</v>
      </c>
      <c r="F87" s="12">
        <v>44282</v>
      </c>
      <c r="G87" s="12"/>
      <c r="H87" s="13">
        <v>795</v>
      </c>
      <c r="I87" s="11" t="s">
        <v>37</v>
      </c>
      <c r="J87" s="13">
        <v>3</v>
      </c>
      <c r="K87" s="11" t="s">
        <v>18</v>
      </c>
      <c r="L87" s="13"/>
    </row>
    <row r="88" spans="1:12" hidden="1" x14ac:dyDescent="0.3">
      <c r="A88" s="5" t="s">
        <v>124</v>
      </c>
      <c r="B88" s="6" t="s">
        <v>99</v>
      </c>
      <c r="C88" s="6" t="s">
        <v>125</v>
      </c>
      <c r="D88" s="6" t="s">
        <v>126</v>
      </c>
      <c r="E88" s="6" t="s">
        <v>34</v>
      </c>
      <c r="F88" s="7">
        <v>44285</v>
      </c>
      <c r="G88" s="7"/>
      <c r="H88" s="8">
        <v>887</v>
      </c>
      <c r="I88" s="6" t="s">
        <v>113</v>
      </c>
      <c r="J88" s="8">
        <v>4</v>
      </c>
      <c r="K88" s="6" t="s">
        <v>18</v>
      </c>
      <c r="L88" s="8"/>
    </row>
    <row r="89" spans="1:12" x14ac:dyDescent="0.3">
      <c r="A89" s="10" t="s">
        <v>59</v>
      </c>
      <c r="B89" s="11" t="s">
        <v>27</v>
      </c>
      <c r="C89" s="11" t="s">
        <v>28</v>
      </c>
      <c r="D89" s="11" t="s">
        <v>246</v>
      </c>
      <c r="E89" s="11" t="s">
        <v>16</v>
      </c>
      <c r="F89" s="12">
        <v>44289</v>
      </c>
      <c r="G89" s="12"/>
      <c r="H89" s="13">
        <v>1552</v>
      </c>
      <c r="I89" s="11"/>
      <c r="J89" s="13">
        <v>3</v>
      </c>
      <c r="K89" s="11" t="s">
        <v>18</v>
      </c>
      <c r="L89" s="13"/>
    </row>
    <row r="90" spans="1:12" x14ac:dyDescent="0.3">
      <c r="A90" s="5" t="s">
        <v>296</v>
      </c>
      <c r="B90" s="6" t="s">
        <v>45</v>
      </c>
      <c r="C90" s="6" t="s">
        <v>58</v>
      </c>
      <c r="D90" s="6" t="s">
        <v>297</v>
      </c>
      <c r="E90" s="6" t="s">
        <v>16</v>
      </c>
      <c r="F90" s="7">
        <v>44323</v>
      </c>
      <c r="G90" s="7"/>
      <c r="H90" s="8">
        <v>1556</v>
      </c>
      <c r="I90" s="6" t="s">
        <v>130</v>
      </c>
      <c r="J90" s="8">
        <v>2</v>
      </c>
      <c r="K90" s="6" t="s">
        <v>18</v>
      </c>
      <c r="L90" s="8"/>
    </row>
    <row r="91" spans="1:12" x14ac:dyDescent="0.3">
      <c r="A91" s="10" t="s">
        <v>298</v>
      </c>
      <c r="B91" s="11" t="s">
        <v>99</v>
      </c>
      <c r="C91" s="11" t="s">
        <v>138</v>
      </c>
      <c r="D91" s="11" t="s">
        <v>299</v>
      </c>
      <c r="E91" s="11" t="s">
        <v>16</v>
      </c>
      <c r="F91" s="12">
        <v>44327</v>
      </c>
      <c r="G91" s="12"/>
      <c r="H91" s="13">
        <v>432</v>
      </c>
      <c r="I91" s="11" t="s">
        <v>151</v>
      </c>
      <c r="J91" s="13">
        <v>5</v>
      </c>
      <c r="K91" s="11" t="s">
        <v>18</v>
      </c>
      <c r="L91" s="13"/>
    </row>
    <row r="92" spans="1:12" x14ac:dyDescent="0.3">
      <c r="A92" s="10" t="s">
        <v>249</v>
      </c>
      <c r="B92" s="11" t="s">
        <v>42</v>
      </c>
      <c r="C92" s="11" t="s">
        <v>122</v>
      </c>
      <c r="D92" s="11" t="s">
        <v>359</v>
      </c>
      <c r="E92" s="11" t="s">
        <v>24</v>
      </c>
      <c r="F92" s="12">
        <v>44335</v>
      </c>
      <c r="G92" s="12">
        <v>44736</v>
      </c>
      <c r="H92" s="13">
        <v>602</v>
      </c>
      <c r="I92" s="11"/>
      <c r="J92" s="13">
        <v>5</v>
      </c>
      <c r="K92" s="11" t="s">
        <v>35</v>
      </c>
      <c r="L92" s="13"/>
    </row>
    <row r="93" spans="1:12" x14ac:dyDescent="0.3">
      <c r="A93" s="5" t="s">
        <v>360</v>
      </c>
      <c r="B93" s="6" t="s">
        <v>45</v>
      </c>
      <c r="C93" s="6" t="s">
        <v>58</v>
      </c>
      <c r="D93" s="6" t="s">
        <v>361</v>
      </c>
      <c r="E93" s="6" t="s">
        <v>24</v>
      </c>
      <c r="F93" s="7">
        <v>44337</v>
      </c>
      <c r="G93" s="7"/>
      <c r="H93" s="8">
        <v>800</v>
      </c>
      <c r="I93" s="6" t="s">
        <v>230</v>
      </c>
      <c r="J93" s="8">
        <v>3</v>
      </c>
      <c r="K93" s="6" t="s">
        <v>18</v>
      </c>
      <c r="L93" s="8"/>
    </row>
    <row r="94" spans="1:12" hidden="1" x14ac:dyDescent="0.3">
      <c r="A94" s="10" t="s">
        <v>25</v>
      </c>
      <c r="B94" s="11" t="s">
        <v>42</v>
      </c>
      <c r="C94" s="11" t="s">
        <v>43</v>
      </c>
      <c r="D94" s="11" t="s">
        <v>179</v>
      </c>
      <c r="E94" s="11" t="s">
        <v>34</v>
      </c>
      <c r="F94" s="12">
        <v>44339</v>
      </c>
      <c r="G94" s="12"/>
      <c r="H94" s="13">
        <v>976</v>
      </c>
      <c r="I94" s="11"/>
      <c r="J94" s="13">
        <v>5</v>
      </c>
      <c r="K94" s="11" t="s">
        <v>18</v>
      </c>
      <c r="L94" s="13"/>
    </row>
    <row r="95" spans="1:12" hidden="1" x14ac:dyDescent="0.3">
      <c r="A95" s="10" t="s">
        <v>394</v>
      </c>
      <c r="B95" s="11" t="s">
        <v>45</v>
      </c>
      <c r="C95" s="11" t="s">
        <v>58</v>
      </c>
      <c r="D95" s="11" t="s">
        <v>395</v>
      </c>
      <c r="E95" s="11" t="s">
        <v>34</v>
      </c>
      <c r="F95" s="12">
        <v>44359</v>
      </c>
      <c r="G95" s="12"/>
      <c r="H95" s="13">
        <v>1709</v>
      </c>
      <c r="I95" s="11" t="s">
        <v>130</v>
      </c>
      <c r="J95" s="13">
        <v>5</v>
      </c>
      <c r="K95" s="11" t="s">
        <v>18</v>
      </c>
      <c r="L95" s="13"/>
    </row>
    <row r="96" spans="1:12" x14ac:dyDescent="0.3">
      <c r="A96" s="10" t="s">
        <v>113</v>
      </c>
      <c r="B96" s="11" t="s">
        <v>42</v>
      </c>
      <c r="C96" s="11" t="s">
        <v>43</v>
      </c>
      <c r="D96" s="11" t="s">
        <v>309</v>
      </c>
      <c r="E96" s="11" t="s">
        <v>24</v>
      </c>
      <c r="F96" s="12">
        <v>44388</v>
      </c>
      <c r="G96" s="12"/>
      <c r="H96" s="13">
        <v>639</v>
      </c>
      <c r="I96" s="11"/>
      <c r="J96" s="13">
        <v>5</v>
      </c>
      <c r="K96" s="11" t="s">
        <v>18</v>
      </c>
      <c r="L96" s="13"/>
    </row>
    <row r="97" spans="1:12" x14ac:dyDescent="0.3">
      <c r="A97" s="5" t="s">
        <v>177</v>
      </c>
      <c r="B97" s="6" t="s">
        <v>42</v>
      </c>
      <c r="C97" s="6" t="s">
        <v>83</v>
      </c>
      <c r="D97" s="6" t="s">
        <v>178</v>
      </c>
      <c r="E97" s="6" t="s">
        <v>24</v>
      </c>
      <c r="F97" s="7">
        <v>44395</v>
      </c>
      <c r="G97" s="7"/>
      <c r="H97" s="8">
        <v>1319</v>
      </c>
      <c r="I97" s="6" t="s">
        <v>150</v>
      </c>
      <c r="J97" s="8">
        <v>2</v>
      </c>
      <c r="K97" s="6" t="s">
        <v>18</v>
      </c>
      <c r="L97" s="8"/>
    </row>
    <row r="98" spans="1:12" x14ac:dyDescent="0.3">
      <c r="A98" s="5" t="s">
        <v>243</v>
      </c>
      <c r="B98" s="6" t="s">
        <v>50</v>
      </c>
      <c r="C98" s="6" t="s">
        <v>70</v>
      </c>
      <c r="D98" s="6" t="str">
        <f>_xlfn.CONCAT("employees.",  RIGHT('Total employees'!$A112, 4), "@jogate.com")</f>
        <v>employees.1023@jogate.com</v>
      </c>
      <c r="E98" s="6" t="s">
        <v>24</v>
      </c>
      <c r="F98" s="7">
        <v>44437</v>
      </c>
      <c r="G98" s="7"/>
      <c r="H98" s="8">
        <v>1222</v>
      </c>
      <c r="I98" s="6" t="s">
        <v>48</v>
      </c>
      <c r="J98" s="8">
        <v>2</v>
      </c>
      <c r="K98" s="6" t="s">
        <v>18</v>
      </c>
      <c r="L98" s="8"/>
    </row>
    <row r="99" spans="1:12" x14ac:dyDescent="0.3">
      <c r="A99" s="5" t="s">
        <v>203</v>
      </c>
      <c r="B99" s="6" t="s">
        <v>42</v>
      </c>
      <c r="C99" s="6" t="s">
        <v>122</v>
      </c>
      <c r="D99" s="6" t="s">
        <v>352</v>
      </c>
      <c r="E99" s="6" t="s">
        <v>16</v>
      </c>
      <c r="F99" s="7">
        <v>44444</v>
      </c>
      <c r="G99" s="7"/>
      <c r="H99" s="8">
        <v>323</v>
      </c>
      <c r="I99" s="6"/>
      <c r="J99" s="8">
        <v>5</v>
      </c>
      <c r="K99" s="6" t="s">
        <v>18</v>
      </c>
      <c r="L99" s="8"/>
    </row>
    <row r="100" spans="1:12" x14ac:dyDescent="0.3">
      <c r="A100" s="5" t="s">
        <v>293</v>
      </c>
      <c r="B100" s="6" t="s">
        <v>27</v>
      </c>
      <c r="C100" s="6" t="s">
        <v>87</v>
      </c>
      <c r="D100" s="6" t="s">
        <v>294</v>
      </c>
      <c r="E100" s="6" t="s">
        <v>16</v>
      </c>
      <c r="F100" s="7">
        <v>44447</v>
      </c>
      <c r="G100" s="7"/>
      <c r="H100" s="8">
        <v>1186</v>
      </c>
      <c r="I100" s="6" t="s">
        <v>236</v>
      </c>
      <c r="J100" s="8">
        <v>5</v>
      </c>
      <c r="K100" s="6" t="s">
        <v>18</v>
      </c>
      <c r="L100" s="8"/>
    </row>
    <row r="101" spans="1:12" x14ac:dyDescent="0.3">
      <c r="A101" s="10" t="s">
        <v>390</v>
      </c>
      <c r="B101" s="11" t="s">
        <v>99</v>
      </c>
      <c r="C101" s="11" t="s">
        <v>125</v>
      </c>
      <c r="D101" s="11" t="s">
        <v>391</v>
      </c>
      <c r="E101" s="11" t="s">
        <v>16</v>
      </c>
      <c r="F101" s="12">
        <v>44447</v>
      </c>
      <c r="G101" s="12"/>
      <c r="H101" s="13">
        <v>533</v>
      </c>
      <c r="I101" s="11" t="s">
        <v>353</v>
      </c>
      <c r="J101" s="13">
        <v>4</v>
      </c>
      <c r="K101" s="11" t="s">
        <v>18</v>
      </c>
      <c r="L101" s="13"/>
    </row>
    <row r="102" spans="1:12" hidden="1" x14ac:dyDescent="0.3">
      <c r="A102" s="10" t="s">
        <v>48</v>
      </c>
      <c r="B102" s="11" t="s">
        <v>31</v>
      </c>
      <c r="C102" s="11" t="s">
        <v>32</v>
      </c>
      <c r="D102" s="11" t="str">
        <f>_xlfn.CONCAT("employees.",  RIGHT('Total employees'!$A75, 4), "@jogate.com")</f>
        <v>employees.1170@jogate.com</v>
      </c>
      <c r="E102" s="11" t="s">
        <v>34</v>
      </c>
      <c r="F102" s="12">
        <v>44493</v>
      </c>
      <c r="G102" s="12"/>
      <c r="H102" s="13">
        <v>2049</v>
      </c>
      <c r="I102" s="11"/>
      <c r="J102" s="13">
        <v>2</v>
      </c>
      <c r="K102" s="11" t="s">
        <v>18</v>
      </c>
      <c r="L102" s="13"/>
    </row>
    <row r="103" spans="1:12" hidden="1" x14ac:dyDescent="0.3">
      <c r="A103" s="10" t="s">
        <v>274</v>
      </c>
      <c r="B103" s="11" t="s">
        <v>61</v>
      </c>
      <c r="C103" s="11" t="s">
        <v>62</v>
      </c>
      <c r="D103" s="11" t="s">
        <v>275</v>
      </c>
      <c r="E103" s="11" t="s">
        <v>34</v>
      </c>
      <c r="F103" s="12">
        <v>44507</v>
      </c>
      <c r="G103" s="12"/>
      <c r="H103" s="13">
        <v>1869</v>
      </c>
      <c r="I103" s="11" t="s">
        <v>40</v>
      </c>
      <c r="J103" s="13">
        <v>2</v>
      </c>
      <c r="K103" s="11" t="s">
        <v>18</v>
      </c>
      <c r="L103" s="13"/>
    </row>
    <row r="104" spans="1:12" x14ac:dyDescent="0.3">
      <c r="A104" s="5" t="s">
        <v>53</v>
      </c>
      <c r="B104" s="6" t="s">
        <v>42</v>
      </c>
      <c r="C104" s="6" t="s">
        <v>43</v>
      </c>
      <c r="D104" s="6" t="s">
        <v>218</v>
      </c>
      <c r="E104" s="6" t="s">
        <v>24</v>
      </c>
      <c r="F104" s="7">
        <v>44511</v>
      </c>
      <c r="G104" s="7"/>
      <c r="H104" s="8">
        <v>782</v>
      </c>
      <c r="I104" s="6"/>
      <c r="J104" s="8">
        <v>2</v>
      </c>
      <c r="K104" s="6" t="s">
        <v>18</v>
      </c>
      <c r="L104" s="8"/>
    </row>
    <row r="105" spans="1:12" x14ac:dyDescent="0.3">
      <c r="A105" s="5" t="s">
        <v>396</v>
      </c>
      <c r="B105" s="6" t="s">
        <v>13</v>
      </c>
      <c r="C105" s="6" t="s">
        <v>264</v>
      </c>
      <c r="D105" s="6" t="s">
        <v>397</v>
      </c>
      <c r="E105" s="6" t="s">
        <v>24</v>
      </c>
      <c r="F105" s="7">
        <v>44555</v>
      </c>
      <c r="G105" s="7"/>
      <c r="H105" s="8">
        <v>472</v>
      </c>
      <c r="I105" s="6" t="s">
        <v>71</v>
      </c>
      <c r="J105" s="8">
        <v>5</v>
      </c>
      <c r="K105" s="6" t="s">
        <v>18</v>
      </c>
      <c r="L105" s="8"/>
    </row>
    <row r="106" spans="1:12" x14ac:dyDescent="0.3">
      <c r="A106" s="10" t="s">
        <v>254</v>
      </c>
      <c r="B106" s="11" t="s">
        <v>31</v>
      </c>
      <c r="C106" s="11" t="s">
        <v>74</v>
      </c>
      <c r="D106" s="11" t="s">
        <v>255</v>
      </c>
      <c r="E106" s="11" t="s">
        <v>16</v>
      </c>
      <c r="F106" s="12">
        <v>44569</v>
      </c>
      <c r="G106" s="12"/>
      <c r="H106" s="13">
        <v>1403</v>
      </c>
      <c r="I106" s="11" t="s">
        <v>210</v>
      </c>
      <c r="J106" s="13">
        <v>3</v>
      </c>
      <c r="K106" s="11" t="s">
        <v>18</v>
      </c>
      <c r="L106" s="13"/>
    </row>
    <row r="107" spans="1:12" x14ac:dyDescent="0.3">
      <c r="A107" s="5" t="s">
        <v>153</v>
      </c>
      <c r="B107" s="6" t="s">
        <v>21</v>
      </c>
      <c r="C107" s="6" t="s">
        <v>154</v>
      </c>
      <c r="D107" s="6" t="s">
        <v>155</v>
      </c>
      <c r="E107" s="6" t="s">
        <v>24</v>
      </c>
      <c r="F107" s="7">
        <v>44602</v>
      </c>
      <c r="G107" s="7"/>
      <c r="H107" s="8">
        <v>979</v>
      </c>
      <c r="I107" s="6" t="s">
        <v>156</v>
      </c>
      <c r="J107" s="8">
        <v>2</v>
      </c>
      <c r="K107" s="6" t="s">
        <v>18</v>
      </c>
      <c r="L107" s="8"/>
    </row>
    <row r="108" spans="1:12" hidden="1" x14ac:dyDescent="0.3">
      <c r="A108" s="10" t="s">
        <v>82</v>
      </c>
      <c r="B108" s="11" t="s">
        <v>42</v>
      </c>
      <c r="C108" s="11" t="s">
        <v>83</v>
      </c>
      <c r="D108" s="11" t="str">
        <f>_xlfn.CONCAT("employees.",  RIGHT('Total employees'!$A23, 4), "@jogate.com")</f>
        <v>employees.1043@jogate.com</v>
      </c>
      <c r="E108" s="11" t="s">
        <v>34</v>
      </c>
      <c r="F108" s="12">
        <v>44617</v>
      </c>
      <c r="G108" s="12">
        <v>45413</v>
      </c>
      <c r="H108" s="13">
        <v>612</v>
      </c>
      <c r="I108" s="11" t="s">
        <v>84</v>
      </c>
      <c r="J108" s="13">
        <v>2</v>
      </c>
      <c r="K108" s="11" t="s">
        <v>35</v>
      </c>
      <c r="L108" s="13"/>
    </row>
    <row r="109" spans="1:12" x14ac:dyDescent="0.3">
      <c r="A109" s="10" t="s">
        <v>41</v>
      </c>
      <c r="B109" s="11" t="s">
        <v>42</v>
      </c>
      <c r="C109" s="11" t="s">
        <v>43</v>
      </c>
      <c r="D109" s="11" t="str">
        <f>_xlfn.CONCAT("employees.",  RIGHT('Total employees'!$A9, 4), "@jogate.com")</f>
        <v>employees.1052@jogate.com</v>
      </c>
      <c r="E109" s="11" t="s">
        <v>16</v>
      </c>
      <c r="F109" s="12">
        <v>44630</v>
      </c>
      <c r="G109" s="12"/>
      <c r="H109" s="13">
        <v>2086</v>
      </c>
      <c r="I109" s="11"/>
      <c r="J109" s="13">
        <v>4</v>
      </c>
      <c r="K109" s="11" t="s">
        <v>18</v>
      </c>
      <c r="L109" s="13"/>
    </row>
    <row r="110" spans="1:12" x14ac:dyDescent="0.3">
      <c r="A110" s="5" t="s">
        <v>132</v>
      </c>
      <c r="B110" s="6" t="s">
        <v>21</v>
      </c>
      <c r="C110" s="6" t="s">
        <v>133</v>
      </c>
      <c r="D110" s="6" t="s">
        <v>134</v>
      </c>
      <c r="E110" s="6" t="s">
        <v>24</v>
      </c>
      <c r="F110" s="7">
        <v>44643</v>
      </c>
      <c r="G110" s="7"/>
      <c r="H110" s="8">
        <v>1811</v>
      </c>
      <c r="I110" s="6" t="s">
        <v>64</v>
      </c>
      <c r="J110" s="8">
        <v>3</v>
      </c>
      <c r="K110" s="6" t="s">
        <v>18</v>
      </c>
      <c r="L110" s="8"/>
    </row>
    <row r="111" spans="1:12" x14ac:dyDescent="0.3">
      <c r="A111" s="5" t="s">
        <v>12</v>
      </c>
      <c r="B111" s="6" t="s">
        <v>13</v>
      </c>
      <c r="C111" s="6" t="s">
        <v>14</v>
      </c>
      <c r="D111" s="6" t="s">
        <v>15</v>
      </c>
      <c r="E111" s="6" t="s">
        <v>16</v>
      </c>
      <c r="F111" s="7">
        <v>44668</v>
      </c>
      <c r="G111" s="7"/>
      <c r="H111" s="8">
        <v>892</v>
      </c>
      <c r="I111" s="6" t="s">
        <v>17</v>
      </c>
      <c r="J111" s="8">
        <v>2</v>
      </c>
      <c r="K111" s="6" t="s">
        <v>18</v>
      </c>
      <c r="L111" s="8"/>
    </row>
    <row r="112" spans="1:12" hidden="1" x14ac:dyDescent="0.3">
      <c r="A112" s="5" t="s">
        <v>85</v>
      </c>
      <c r="B112" s="6" t="s">
        <v>31</v>
      </c>
      <c r="C112" s="6" t="s">
        <v>74</v>
      </c>
      <c r="D112" s="6" t="str">
        <f>_xlfn.CONCAT("employees.",  RIGHT('Total employees'!$A24, 4), "@jogate.com")</f>
        <v>employees.1117@jogate.com</v>
      </c>
      <c r="E112" s="6" t="s">
        <v>34</v>
      </c>
      <c r="F112" s="7">
        <v>44683</v>
      </c>
      <c r="G112" s="7"/>
      <c r="H112" s="8">
        <v>436</v>
      </c>
      <c r="I112" s="6" t="s">
        <v>79</v>
      </c>
      <c r="J112" s="8">
        <v>5</v>
      </c>
      <c r="K112" s="6" t="s">
        <v>18</v>
      </c>
      <c r="L112" s="8"/>
    </row>
    <row r="113" spans="1:12" x14ac:dyDescent="0.3">
      <c r="A113" s="5" t="s">
        <v>26</v>
      </c>
      <c r="B113" s="6" t="s">
        <v>27</v>
      </c>
      <c r="C113" s="6" t="s">
        <v>28</v>
      </c>
      <c r="D113" s="6" t="s">
        <v>29</v>
      </c>
      <c r="E113" s="6" t="s">
        <v>16</v>
      </c>
      <c r="F113" s="7">
        <v>44694</v>
      </c>
      <c r="G113" s="7"/>
      <c r="H113" s="8">
        <v>1627</v>
      </c>
      <c r="I113" s="6"/>
      <c r="J113" s="8">
        <v>3</v>
      </c>
      <c r="K113" s="6" t="s">
        <v>18</v>
      </c>
      <c r="L113" s="8"/>
    </row>
    <row r="114" spans="1:12" x14ac:dyDescent="0.3">
      <c r="A114" s="10" t="s">
        <v>346</v>
      </c>
      <c r="B114" s="11" t="s">
        <v>13</v>
      </c>
      <c r="C114" s="11" t="s">
        <v>264</v>
      </c>
      <c r="D114" s="11" t="s">
        <v>347</v>
      </c>
      <c r="E114" s="11" t="s">
        <v>16</v>
      </c>
      <c r="F114" s="12">
        <v>44705</v>
      </c>
      <c r="G114" s="12"/>
      <c r="H114" s="13">
        <v>1020</v>
      </c>
      <c r="I114" s="11" t="s">
        <v>146</v>
      </c>
      <c r="J114" s="13">
        <v>5</v>
      </c>
      <c r="K114" s="11" t="s">
        <v>18</v>
      </c>
      <c r="L114" s="13"/>
    </row>
    <row r="115" spans="1:12" x14ac:dyDescent="0.3">
      <c r="A115" s="5" t="s">
        <v>268</v>
      </c>
      <c r="B115" s="6" t="s">
        <v>13</v>
      </c>
      <c r="C115" s="6" t="s">
        <v>264</v>
      </c>
      <c r="D115" s="6" t="s">
        <v>269</v>
      </c>
      <c r="E115" s="6" t="s">
        <v>16</v>
      </c>
      <c r="F115" s="7">
        <v>44712</v>
      </c>
      <c r="G115" s="7"/>
      <c r="H115" s="8">
        <v>299</v>
      </c>
      <c r="I115" s="6" t="s">
        <v>79</v>
      </c>
      <c r="J115" s="8">
        <v>4</v>
      </c>
      <c r="K115" s="6" t="s">
        <v>18</v>
      </c>
      <c r="L115" s="8"/>
    </row>
    <row r="116" spans="1:12" hidden="1" x14ac:dyDescent="0.3">
      <c r="A116" s="5" t="s">
        <v>69</v>
      </c>
      <c r="B116" s="6" t="s">
        <v>50</v>
      </c>
      <c r="C116" s="6" t="s">
        <v>70</v>
      </c>
      <c r="D116" s="6" t="str">
        <f>_xlfn.CONCAT("employees.",  RIGHT('Total employees'!$A16, 4), "@jogate.com")</f>
        <v>employees.1144@jogate.com</v>
      </c>
      <c r="E116" s="6" t="s">
        <v>34</v>
      </c>
      <c r="F116" s="7">
        <v>44731</v>
      </c>
      <c r="G116" s="7"/>
      <c r="H116" s="8">
        <v>1546</v>
      </c>
      <c r="I116" s="6" t="s">
        <v>71</v>
      </c>
      <c r="J116" s="8">
        <v>4</v>
      </c>
      <c r="K116" s="6" t="s">
        <v>18</v>
      </c>
      <c r="L116" s="8"/>
    </row>
    <row r="117" spans="1:12" x14ac:dyDescent="0.3">
      <c r="A117" s="10" t="s">
        <v>127</v>
      </c>
      <c r="B117" s="11" t="s">
        <v>50</v>
      </c>
      <c r="C117" s="11" t="s">
        <v>70</v>
      </c>
      <c r="D117" s="11" t="str">
        <f>_xlfn.CONCAT("employees.",  RIGHT('Total employees'!$A43, 4), "@jogate.com")</f>
        <v>employees.1186@jogate.com</v>
      </c>
      <c r="E117" s="11" t="s">
        <v>24</v>
      </c>
      <c r="F117" s="12">
        <v>44756</v>
      </c>
      <c r="G117" s="12"/>
      <c r="H117" s="13">
        <v>2090</v>
      </c>
      <c r="I117" s="11" t="s">
        <v>128</v>
      </c>
      <c r="J117" s="13">
        <v>3</v>
      </c>
      <c r="K117" s="11" t="s">
        <v>18</v>
      </c>
      <c r="L117" s="13"/>
    </row>
    <row r="118" spans="1:12" hidden="1" x14ac:dyDescent="0.3">
      <c r="A118" s="10" t="s">
        <v>75</v>
      </c>
      <c r="B118" s="11" t="s">
        <v>61</v>
      </c>
      <c r="C118" s="11" t="s">
        <v>62</v>
      </c>
      <c r="D118" s="11" t="str">
        <f>_xlfn.CONCAT("employees.",  RIGHT('Total employees'!$A19, 4), "@jogate.com")</f>
        <v>employees.1156@jogate.com</v>
      </c>
      <c r="E118" s="11" t="s">
        <v>34</v>
      </c>
      <c r="F118" s="12">
        <v>44772</v>
      </c>
      <c r="G118" s="12">
        <v>45521</v>
      </c>
      <c r="H118" s="13">
        <v>1454</v>
      </c>
      <c r="I118" s="11" t="s">
        <v>76</v>
      </c>
      <c r="J118" s="13">
        <v>4</v>
      </c>
      <c r="K118" s="11" t="s">
        <v>35</v>
      </c>
      <c r="L118" s="13"/>
    </row>
    <row r="119" spans="1:12" x14ac:dyDescent="0.3">
      <c r="A119" s="10" t="s">
        <v>146</v>
      </c>
      <c r="B119" s="11" t="s">
        <v>31</v>
      </c>
      <c r="C119" s="11" t="s">
        <v>32</v>
      </c>
      <c r="D119" s="11" t="s">
        <v>147</v>
      </c>
      <c r="E119" s="11" t="s">
        <v>16</v>
      </c>
      <c r="F119" s="12">
        <v>44808</v>
      </c>
      <c r="G119" s="12"/>
      <c r="H119" s="13">
        <v>1314</v>
      </c>
      <c r="I119" s="11"/>
      <c r="J119" s="13">
        <v>5</v>
      </c>
      <c r="K119" s="11" t="s">
        <v>18</v>
      </c>
      <c r="L119" s="13"/>
    </row>
    <row r="120" spans="1:12" x14ac:dyDescent="0.3">
      <c r="A120" s="5" t="s">
        <v>56</v>
      </c>
      <c r="B120" s="6" t="s">
        <v>31</v>
      </c>
      <c r="C120" s="6" t="s">
        <v>32</v>
      </c>
      <c r="D120" s="6" t="str">
        <f>_xlfn.CONCAT("employees.",  RIGHT('Total employees'!$A20, 4), "@jogate.com")</f>
        <v>employees.1174@jogate.com</v>
      </c>
      <c r="E120" s="6" t="s">
        <v>16</v>
      </c>
      <c r="F120" s="7">
        <v>44819</v>
      </c>
      <c r="G120" s="7"/>
      <c r="H120" s="8">
        <v>1080</v>
      </c>
      <c r="I120" s="6"/>
      <c r="J120" s="8">
        <v>5</v>
      </c>
      <c r="K120" s="6" t="s">
        <v>18</v>
      </c>
      <c r="L120" s="8"/>
    </row>
    <row r="121" spans="1:12" hidden="1" x14ac:dyDescent="0.3">
      <c r="A121" s="10" t="s">
        <v>242</v>
      </c>
      <c r="B121" s="11" t="s">
        <v>99</v>
      </c>
      <c r="C121" s="11" t="s">
        <v>138</v>
      </c>
      <c r="D121" s="11" t="str">
        <f>_xlfn.CONCAT("employees.",  RIGHT('Total employees'!$A111, 4), "@jogate.com")</f>
        <v>employees.1001@jogate.com</v>
      </c>
      <c r="E121" s="11" t="s">
        <v>34</v>
      </c>
      <c r="F121" s="12">
        <v>44836</v>
      </c>
      <c r="G121" s="12"/>
      <c r="H121" s="13">
        <v>1436</v>
      </c>
      <c r="I121" s="11" t="s">
        <v>146</v>
      </c>
      <c r="J121" s="13">
        <v>4</v>
      </c>
      <c r="K121" s="11" t="s">
        <v>18</v>
      </c>
      <c r="L121" s="13"/>
    </row>
    <row r="122" spans="1:12" x14ac:dyDescent="0.3">
      <c r="A122" s="5" t="s">
        <v>367</v>
      </c>
      <c r="B122" s="6" t="s">
        <v>50</v>
      </c>
      <c r="C122" s="6" t="s">
        <v>70</v>
      </c>
      <c r="D122" s="6" t="s">
        <v>368</v>
      </c>
      <c r="E122" s="6" t="s">
        <v>24</v>
      </c>
      <c r="F122" s="7">
        <v>44843</v>
      </c>
      <c r="G122" s="7"/>
      <c r="H122" s="8">
        <v>1991</v>
      </c>
      <c r="I122" s="6" t="s">
        <v>98</v>
      </c>
      <c r="J122" s="8">
        <v>4</v>
      </c>
      <c r="K122" s="6" t="s">
        <v>18</v>
      </c>
      <c r="L122" s="8"/>
    </row>
    <row r="123" spans="1:12" x14ac:dyDescent="0.3">
      <c r="A123" s="5" t="s">
        <v>334</v>
      </c>
      <c r="B123" s="6" t="s">
        <v>27</v>
      </c>
      <c r="C123" s="6" t="s">
        <v>90</v>
      </c>
      <c r="D123" s="6" t="s">
        <v>335</v>
      </c>
      <c r="E123" s="6" t="s">
        <v>24</v>
      </c>
      <c r="F123" s="7">
        <v>44868</v>
      </c>
      <c r="G123" s="7"/>
      <c r="H123" s="8">
        <v>1944</v>
      </c>
      <c r="I123" s="6" t="s">
        <v>164</v>
      </c>
      <c r="J123" s="8">
        <v>5</v>
      </c>
      <c r="K123" s="6" t="s">
        <v>18</v>
      </c>
      <c r="L123" s="8"/>
    </row>
    <row r="124" spans="1:12" x14ac:dyDescent="0.3">
      <c r="A124" s="10" t="s">
        <v>105</v>
      </c>
      <c r="B124" s="11" t="s">
        <v>50</v>
      </c>
      <c r="C124" s="11" t="s">
        <v>51</v>
      </c>
      <c r="D124" s="11" t="s">
        <v>106</v>
      </c>
      <c r="E124" s="11" t="s">
        <v>16</v>
      </c>
      <c r="F124" s="12">
        <v>44870</v>
      </c>
      <c r="G124" s="12"/>
      <c r="H124" s="13">
        <v>763</v>
      </c>
      <c r="I124" s="11" t="s">
        <v>107</v>
      </c>
      <c r="J124" s="13">
        <v>4</v>
      </c>
      <c r="K124" s="11" t="s">
        <v>18</v>
      </c>
      <c r="L124" s="13"/>
    </row>
    <row r="125" spans="1:12" x14ac:dyDescent="0.3">
      <c r="A125" s="10" t="s">
        <v>79</v>
      </c>
      <c r="B125" s="11" t="s">
        <v>42</v>
      </c>
      <c r="C125" s="11" t="s">
        <v>43</v>
      </c>
      <c r="D125" s="11" t="s">
        <v>172</v>
      </c>
      <c r="E125" s="11" t="s">
        <v>24</v>
      </c>
      <c r="F125" s="12">
        <v>44879</v>
      </c>
      <c r="G125" s="12">
        <v>45955</v>
      </c>
      <c r="H125" s="13">
        <v>286</v>
      </c>
      <c r="I125" s="11"/>
      <c r="J125" s="13">
        <v>4</v>
      </c>
      <c r="K125" s="11" t="s">
        <v>35</v>
      </c>
      <c r="L125" s="13"/>
    </row>
    <row r="126" spans="1:12" x14ac:dyDescent="0.3">
      <c r="A126" s="5" t="s">
        <v>374</v>
      </c>
      <c r="B126" s="6" t="s">
        <v>99</v>
      </c>
      <c r="C126" s="6" t="s">
        <v>138</v>
      </c>
      <c r="D126" s="6" t="s">
        <v>375</v>
      </c>
      <c r="E126" s="6" t="s">
        <v>16</v>
      </c>
      <c r="F126" s="7">
        <v>44884</v>
      </c>
      <c r="G126" s="7"/>
      <c r="H126" s="8">
        <v>1500</v>
      </c>
      <c r="I126" s="6" t="s">
        <v>37</v>
      </c>
      <c r="J126" s="8">
        <v>5</v>
      </c>
      <c r="K126" s="6" t="s">
        <v>18</v>
      </c>
      <c r="L126" s="8"/>
    </row>
    <row r="127" spans="1:12" x14ac:dyDescent="0.3">
      <c r="A127" s="10" t="s">
        <v>182</v>
      </c>
      <c r="B127" s="11" t="s">
        <v>50</v>
      </c>
      <c r="C127" s="11" t="s">
        <v>51</v>
      </c>
      <c r="D127" s="11" t="s">
        <v>183</v>
      </c>
      <c r="E127" s="11" t="s">
        <v>24</v>
      </c>
      <c r="F127" s="12">
        <v>44885</v>
      </c>
      <c r="G127" s="12"/>
      <c r="H127" s="13">
        <v>784</v>
      </c>
      <c r="I127" s="11" t="s">
        <v>88</v>
      </c>
      <c r="J127" s="13">
        <v>4</v>
      </c>
      <c r="K127" s="11" t="s">
        <v>18</v>
      </c>
      <c r="L127" s="13"/>
    </row>
    <row r="128" spans="1:12" hidden="1" x14ac:dyDescent="0.3">
      <c r="A128" s="5" t="s">
        <v>150</v>
      </c>
      <c r="B128" s="6" t="s">
        <v>99</v>
      </c>
      <c r="C128" s="6" t="s">
        <v>100</v>
      </c>
      <c r="D128" s="6" t="s">
        <v>378</v>
      </c>
      <c r="E128" s="6" t="s">
        <v>34</v>
      </c>
      <c r="F128" s="7">
        <v>44885</v>
      </c>
      <c r="G128" s="7"/>
      <c r="H128" s="8">
        <v>1400</v>
      </c>
      <c r="I128" s="6"/>
      <c r="J128" s="8">
        <v>4</v>
      </c>
      <c r="K128" s="6" t="s">
        <v>18</v>
      </c>
      <c r="L128" s="8"/>
    </row>
    <row r="129" spans="1:12" x14ac:dyDescent="0.3">
      <c r="A129" s="5" t="s">
        <v>326</v>
      </c>
      <c r="B129" s="6" t="s">
        <v>21</v>
      </c>
      <c r="C129" s="6" t="s">
        <v>154</v>
      </c>
      <c r="D129" s="6" t="s">
        <v>327</v>
      </c>
      <c r="E129" s="6" t="s">
        <v>24</v>
      </c>
      <c r="F129" s="7">
        <v>44925</v>
      </c>
      <c r="G129" s="7">
        <v>46877</v>
      </c>
      <c r="H129" s="8">
        <v>448</v>
      </c>
      <c r="I129" s="6" t="s">
        <v>237</v>
      </c>
      <c r="J129" s="8">
        <v>4</v>
      </c>
      <c r="K129" s="6" t="s">
        <v>35</v>
      </c>
      <c r="L129" s="8"/>
    </row>
    <row r="130" spans="1:12" x14ac:dyDescent="0.3">
      <c r="A130" s="10" t="s">
        <v>232</v>
      </c>
      <c r="B130" s="11" t="s">
        <v>45</v>
      </c>
      <c r="C130" s="11" t="s">
        <v>58</v>
      </c>
      <c r="D130" s="11" t="s">
        <v>233</v>
      </c>
      <c r="E130" s="11" t="s">
        <v>16</v>
      </c>
      <c r="F130" s="12">
        <v>44942</v>
      </c>
      <c r="G130" s="12"/>
      <c r="H130" s="13">
        <v>704</v>
      </c>
      <c r="I130" s="11" t="s">
        <v>98</v>
      </c>
      <c r="J130" s="13">
        <v>5</v>
      </c>
      <c r="K130" s="11" t="s">
        <v>18</v>
      </c>
      <c r="L130" s="13"/>
    </row>
    <row r="131" spans="1:12" x14ac:dyDescent="0.3">
      <c r="A131" s="10" t="s">
        <v>239</v>
      </c>
      <c r="B131" s="11" t="s">
        <v>50</v>
      </c>
      <c r="C131" s="11" t="s">
        <v>51</v>
      </c>
      <c r="D131" s="11" t="str">
        <f>_xlfn.CONCAT("employees.",  RIGHT('Total employees'!$A107, 4), "@jogate.com")</f>
        <v>employees.1053@jogate.com</v>
      </c>
      <c r="E131" s="11" t="s">
        <v>24</v>
      </c>
      <c r="F131" s="12">
        <v>44945</v>
      </c>
      <c r="G131" s="12">
        <v>45321</v>
      </c>
      <c r="H131" s="13">
        <v>1507</v>
      </c>
      <c r="I131" s="11" t="s">
        <v>40</v>
      </c>
      <c r="J131" s="13">
        <v>2</v>
      </c>
      <c r="K131" s="11" t="s">
        <v>35</v>
      </c>
      <c r="L131" s="13"/>
    </row>
    <row r="132" spans="1:12" x14ac:dyDescent="0.3">
      <c r="A132" s="5" t="s">
        <v>392</v>
      </c>
      <c r="B132" s="6" t="s">
        <v>31</v>
      </c>
      <c r="C132" s="6" t="s">
        <v>74</v>
      </c>
      <c r="D132" s="6" t="s">
        <v>393</v>
      </c>
      <c r="E132" s="6" t="s">
        <v>16</v>
      </c>
      <c r="F132" s="7">
        <v>44956</v>
      </c>
      <c r="G132" s="7"/>
      <c r="H132" s="8">
        <v>1593</v>
      </c>
      <c r="I132" s="6" t="s">
        <v>128</v>
      </c>
      <c r="J132" s="8">
        <v>3</v>
      </c>
      <c r="K132" s="6" t="s">
        <v>18</v>
      </c>
      <c r="L132" s="8"/>
    </row>
    <row r="133" spans="1:12" x14ac:dyDescent="0.3">
      <c r="A133" s="10" t="s">
        <v>20</v>
      </c>
      <c r="B133" s="11" t="s">
        <v>21</v>
      </c>
      <c r="C133" s="11" t="s">
        <v>22</v>
      </c>
      <c r="D133" s="11" t="s">
        <v>23</v>
      </c>
      <c r="E133" s="11" t="s">
        <v>24</v>
      </c>
      <c r="F133" s="12">
        <v>44964</v>
      </c>
      <c r="G133" s="12"/>
      <c r="H133" s="13">
        <v>421</v>
      </c>
      <c r="I133" s="11" t="s">
        <v>25</v>
      </c>
      <c r="J133" s="13">
        <v>2</v>
      </c>
      <c r="K133" s="11" t="s">
        <v>18</v>
      </c>
      <c r="L133" s="13"/>
    </row>
    <row r="134" spans="1:12" x14ac:dyDescent="0.3">
      <c r="A134" s="5" t="s">
        <v>206</v>
      </c>
      <c r="B134" s="6" t="s">
        <v>31</v>
      </c>
      <c r="C134" s="6" t="s">
        <v>74</v>
      </c>
      <c r="D134" s="6" t="s">
        <v>207</v>
      </c>
      <c r="E134" s="6" t="s">
        <v>24</v>
      </c>
      <c r="F134" s="7">
        <v>44993</v>
      </c>
      <c r="G134" s="7"/>
      <c r="H134" s="8">
        <v>628</v>
      </c>
      <c r="I134" s="6" t="s">
        <v>96</v>
      </c>
      <c r="J134" s="8">
        <v>5</v>
      </c>
      <c r="K134" s="6" t="s">
        <v>18</v>
      </c>
      <c r="L134" s="8"/>
    </row>
    <row r="135" spans="1:12" x14ac:dyDescent="0.3">
      <c r="A135" s="10" t="s">
        <v>64</v>
      </c>
      <c r="B135" s="11" t="s">
        <v>13</v>
      </c>
      <c r="C135" s="11" t="s">
        <v>14</v>
      </c>
      <c r="D135" s="11" t="s">
        <v>223</v>
      </c>
      <c r="E135" s="11" t="s">
        <v>24</v>
      </c>
      <c r="F135" s="12">
        <v>45018</v>
      </c>
      <c r="G135" s="12"/>
      <c r="H135" s="13">
        <v>1773</v>
      </c>
      <c r="I135" s="11" t="s">
        <v>110</v>
      </c>
      <c r="J135" s="13">
        <v>5</v>
      </c>
      <c r="K135" s="11" t="s">
        <v>18</v>
      </c>
      <c r="L135" s="13"/>
    </row>
    <row r="136" spans="1:12" x14ac:dyDescent="0.3">
      <c r="A136" s="5" t="s">
        <v>198</v>
      </c>
      <c r="B136" s="6" t="s">
        <v>50</v>
      </c>
      <c r="C136" s="6" t="s">
        <v>70</v>
      </c>
      <c r="D136" s="6" t="s">
        <v>199</v>
      </c>
      <c r="E136" s="6" t="s">
        <v>16</v>
      </c>
      <c r="F136" s="7">
        <v>45028</v>
      </c>
      <c r="G136" s="7">
        <v>45741</v>
      </c>
      <c r="H136" s="8">
        <v>648</v>
      </c>
      <c r="I136" s="6" t="s">
        <v>104</v>
      </c>
      <c r="J136" s="8">
        <v>4</v>
      </c>
      <c r="K136" s="6" t="s">
        <v>35</v>
      </c>
      <c r="L136" s="8"/>
    </row>
    <row r="137" spans="1:12" x14ac:dyDescent="0.3">
      <c r="A137" s="10" t="s">
        <v>372</v>
      </c>
      <c r="B137" s="11" t="s">
        <v>45</v>
      </c>
      <c r="C137" s="11" t="s">
        <v>46</v>
      </c>
      <c r="D137" s="11" t="s">
        <v>373</v>
      </c>
      <c r="E137" s="11" t="s">
        <v>24</v>
      </c>
      <c r="F137" s="12">
        <v>45038</v>
      </c>
      <c r="G137" s="12"/>
      <c r="H137" s="13">
        <v>423</v>
      </c>
      <c r="I137" s="11" t="s">
        <v>98</v>
      </c>
      <c r="J137" s="13">
        <v>4</v>
      </c>
      <c r="K137" s="11" t="s">
        <v>18</v>
      </c>
      <c r="L137" s="13"/>
    </row>
    <row r="138" spans="1:12" hidden="1" x14ac:dyDescent="0.3">
      <c r="A138" s="5" t="s">
        <v>211</v>
      </c>
      <c r="B138" s="6" t="s">
        <v>99</v>
      </c>
      <c r="C138" s="6" t="s">
        <v>138</v>
      </c>
      <c r="D138" s="6" t="s">
        <v>212</v>
      </c>
      <c r="E138" s="6" t="s">
        <v>34</v>
      </c>
      <c r="F138" s="7">
        <v>45058</v>
      </c>
      <c r="G138" s="7">
        <v>45437</v>
      </c>
      <c r="H138" s="8">
        <v>761</v>
      </c>
      <c r="I138" s="6" t="s">
        <v>68</v>
      </c>
      <c r="J138" s="8">
        <v>3</v>
      </c>
      <c r="K138" s="6" t="s">
        <v>35</v>
      </c>
      <c r="L138" s="8"/>
    </row>
    <row r="139" spans="1:12" hidden="1" x14ac:dyDescent="0.3">
      <c r="A139" s="10" t="s">
        <v>30</v>
      </c>
      <c r="B139" s="11" t="s">
        <v>31</v>
      </c>
      <c r="C139" s="11" t="s">
        <v>32</v>
      </c>
      <c r="D139" s="11" t="s">
        <v>33</v>
      </c>
      <c r="E139" s="11" t="s">
        <v>34</v>
      </c>
      <c r="F139" s="12">
        <v>45072</v>
      </c>
      <c r="G139" s="12">
        <v>45583</v>
      </c>
      <c r="H139" s="13">
        <v>870</v>
      </c>
      <c r="I139" s="11"/>
      <c r="J139" s="13">
        <v>3</v>
      </c>
      <c r="K139" s="11" t="s">
        <v>35</v>
      </c>
      <c r="L139" s="13"/>
    </row>
    <row r="140" spans="1:12" x14ac:dyDescent="0.3">
      <c r="A140" s="5" t="s">
        <v>357</v>
      </c>
      <c r="B140" s="6" t="s">
        <v>13</v>
      </c>
      <c r="C140" s="6" t="s">
        <v>160</v>
      </c>
      <c r="D140" s="6" t="s">
        <v>358</v>
      </c>
      <c r="E140" s="6" t="s">
        <v>24</v>
      </c>
      <c r="F140" s="7">
        <v>45078</v>
      </c>
      <c r="G140" s="7"/>
      <c r="H140" s="8">
        <v>1651</v>
      </c>
      <c r="I140" s="6" t="s">
        <v>237</v>
      </c>
      <c r="J140" s="8">
        <v>3</v>
      </c>
      <c r="K140" s="6" t="s">
        <v>18</v>
      </c>
      <c r="L140" s="8"/>
    </row>
    <row r="141" spans="1:12" x14ac:dyDescent="0.3">
      <c r="A141" s="5" t="s">
        <v>385</v>
      </c>
      <c r="B141" s="6" t="s">
        <v>31</v>
      </c>
      <c r="C141" s="6" t="s">
        <v>74</v>
      </c>
      <c r="D141" s="6" t="s">
        <v>386</v>
      </c>
      <c r="E141" s="6" t="s">
        <v>16</v>
      </c>
      <c r="F141" s="7">
        <v>45097</v>
      </c>
      <c r="G141" s="7"/>
      <c r="H141" s="8">
        <v>1124</v>
      </c>
      <c r="I141" s="6" t="s">
        <v>64</v>
      </c>
      <c r="J141" s="8">
        <v>3</v>
      </c>
      <c r="K141" s="6" t="s">
        <v>18</v>
      </c>
      <c r="L141" s="8"/>
    </row>
    <row r="142" spans="1:12" x14ac:dyDescent="0.3">
      <c r="A142" s="10" t="s">
        <v>305</v>
      </c>
      <c r="B142" s="11" t="s">
        <v>42</v>
      </c>
      <c r="C142" s="11" t="s">
        <v>83</v>
      </c>
      <c r="D142" s="11" t="s">
        <v>306</v>
      </c>
      <c r="E142" s="11" t="s">
        <v>24</v>
      </c>
      <c r="F142" s="12">
        <v>45109</v>
      </c>
      <c r="G142" s="12"/>
      <c r="H142" s="13">
        <v>1595</v>
      </c>
      <c r="I142" s="11" t="s">
        <v>37</v>
      </c>
      <c r="J142" s="13">
        <v>3</v>
      </c>
      <c r="K142" s="11" t="s">
        <v>18</v>
      </c>
      <c r="L142" s="13"/>
    </row>
    <row r="143" spans="1:12" x14ac:dyDescent="0.3">
      <c r="A143" s="10" t="s">
        <v>159</v>
      </c>
      <c r="B143" s="11" t="s">
        <v>13</v>
      </c>
      <c r="C143" s="11" t="s">
        <v>160</v>
      </c>
      <c r="D143" s="11" t="str">
        <f>_xlfn.CONCAT("employees.",  RIGHT('Total employees'!$A57, 4), "@jogate.com")</f>
        <v>employees.1158@jogate.com</v>
      </c>
      <c r="E143" s="11" t="s">
        <v>24</v>
      </c>
      <c r="F143" s="12">
        <v>45110</v>
      </c>
      <c r="G143" s="12">
        <v>45298</v>
      </c>
      <c r="H143" s="13">
        <v>312</v>
      </c>
      <c r="I143" s="11" t="s">
        <v>79</v>
      </c>
      <c r="J143" s="13">
        <v>2</v>
      </c>
      <c r="K143" s="11" t="s">
        <v>35</v>
      </c>
      <c r="L143" s="13"/>
    </row>
    <row r="144" spans="1:12" x14ac:dyDescent="0.3">
      <c r="A144" s="5" t="s">
        <v>89</v>
      </c>
      <c r="B144" s="6" t="s">
        <v>27</v>
      </c>
      <c r="C144" s="6" t="s">
        <v>90</v>
      </c>
      <c r="D144" s="6" t="str">
        <f>_xlfn.CONCAT("employees.",  RIGHT('Total employees'!$A26, 4), "@jogate.com")</f>
        <v>employees.1145@jogate.com</v>
      </c>
      <c r="E144" s="6" t="s">
        <v>16</v>
      </c>
      <c r="F144" s="7">
        <v>45159</v>
      </c>
      <c r="G144" s="7"/>
      <c r="H144" s="8">
        <v>746</v>
      </c>
      <c r="I144" s="6" t="s">
        <v>91</v>
      </c>
      <c r="J144" s="8">
        <v>4</v>
      </c>
      <c r="K144" s="6" t="s">
        <v>18</v>
      </c>
      <c r="L144" s="8"/>
    </row>
    <row r="145" spans="1:12" hidden="1" x14ac:dyDescent="0.3">
      <c r="A145" s="5" t="s">
        <v>314</v>
      </c>
      <c r="B145" s="6" t="s">
        <v>31</v>
      </c>
      <c r="C145" s="6" t="s">
        <v>74</v>
      </c>
      <c r="D145" s="6" t="s">
        <v>315</v>
      </c>
      <c r="E145" s="6" t="s">
        <v>34</v>
      </c>
      <c r="F145" s="7">
        <v>45162</v>
      </c>
      <c r="G145" s="7"/>
      <c r="H145" s="8">
        <v>1007</v>
      </c>
      <c r="I145" s="6" t="s">
        <v>94</v>
      </c>
      <c r="J145" s="8">
        <v>2</v>
      </c>
      <c r="K145" s="6" t="s">
        <v>18</v>
      </c>
      <c r="L145" s="8"/>
    </row>
    <row r="146" spans="1:12" hidden="1" x14ac:dyDescent="0.3">
      <c r="A146" s="5" t="s">
        <v>165</v>
      </c>
      <c r="B146" s="6" t="s">
        <v>21</v>
      </c>
      <c r="C146" s="6" t="s">
        <v>22</v>
      </c>
      <c r="D146" s="6" t="s">
        <v>166</v>
      </c>
      <c r="E146" s="6" t="s">
        <v>34</v>
      </c>
      <c r="F146" s="7">
        <v>45174</v>
      </c>
      <c r="G146" s="7"/>
      <c r="H146" s="8">
        <v>1827</v>
      </c>
      <c r="I146" s="6" t="s">
        <v>113</v>
      </c>
      <c r="J146" s="8">
        <v>5</v>
      </c>
      <c r="K146" s="6" t="s">
        <v>18</v>
      </c>
      <c r="L146" s="8"/>
    </row>
    <row r="147" spans="1:12" x14ac:dyDescent="0.3">
      <c r="A147" s="10" t="s">
        <v>39</v>
      </c>
      <c r="B147" s="11" t="s">
        <v>27</v>
      </c>
      <c r="C147" s="11" t="s">
        <v>28</v>
      </c>
      <c r="D147" s="11" t="str">
        <f>_xlfn.CONCAT("employees.",  RIGHT('Total employees'!$A7, 4), "@jogate.com")</f>
        <v>employees.1095@jogate.com</v>
      </c>
      <c r="E147" s="11" t="s">
        <v>24</v>
      </c>
      <c r="F147" s="12">
        <v>45181</v>
      </c>
      <c r="G147" s="12"/>
      <c r="H147" s="13">
        <v>1711</v>
      </c>
      <c r="I147" s="11"/>
      <c r="J147" s="13">
        <v>2</v>
      </c>
      <c r="K147" s="11" t="s">
        <v>18</v>
      </c>
      <c r="L147" s="13"/>
    </row>
    <row r="148" spans="1:12" x14ac:dyDescent="0.3">
      <c r="A148" s="10" t="s">
        <v>281</v>
      </c>
      <c r="B148" s="11" t="s">
        <v>61</v>
      </c>
      <c r="C148" s="11" t="s">
        <v>78</v>
      </c>
      <c r="D148" s="11" t="s">
        <v>282</v>
      </c>
      <c r="E148" s="11" t="s">
        <v>16</v>
      </c>
      <c r="F148" s="12">
        <v>45193</v>
      </c>
      <c r="G148" s="12"/>
      <c r="H148" s="13">
        <v>1207</v>
      </c>
      <c r="I148" s="11" t="s">
        <v>79</v>
      </c>
      <c r="J148" s="13">
        <v>2</v>
      </c>
      <c r="K148" s="11" t="s">
        <v>18</v>
      </c>
      <c r="L148" s="13"/>
    </row>
    <row r="149" spans="1:12" x14ac:dyDescent="0.3">
      <c r="A149" s="10" t="s">
        <v>235</v>
      </c>
      <c r="B149" s="11" t="s">
        <v>61</v>
      </c>
      <c r="C149" s="11" t="s">
        <v>62</v>
      </c>
      <c r="D149" s="11" t="str">
        <f>_xlfn.CONCAT("employees.",  RIGHT('Total employees'!$A103, 4), "@jogate.com")</f>
        <v>employees.1128@jogate.com</v>
      </c>
      <c r="E149" s="11" t="s">
        <v>16</v>
      </c>
      <c r="F149" s="12">
        <v>45198</v>
      </c>
      <c r="G149" s="12"/>
      <c r="H149" s="13">
        <v>502</v>
      </c>
      <c r="I149" s="11" t="s">
        <v>25</v>
      </c>
      <c r="J149" s="13">
        <v>2</v>
      </c>
      <c r="K149" s="11" t="s">
        <v>18</v>
      </c>
      <c r="L149" s="13"/>
    </row>
    <row r="150" spans="1:12" hidden="1" x14ac:dyDescent="0.3">
      <c r="A150" s="10" t="s">
        <v>225</v>
      </c>
      <c r="B150" s="11" t="s">
        <v>21</v>
      </c>
      <c r="C150" s="11" t="s">
        <v>154</v>
      </c>
      <c r="D150" s="11" t="s">
        <v>226</v>
      </c>
      <c r="E150" s="11" t="s">
        <v>34</v>
      </c>
      <c r="F150" s="12">
        <v>45212</v>
      </c>
      <c r="G150" s="12">
        <v>47092</v>
      </c>
      <c r="H150" s="13">
        <v>525</v>
      </c>
      <c r="I150" s="11" t="s">
        <v>128</v>
      </c>
      <c r="J150" s="13">
        <v>4</v>
      </c>
      <c r="K150" s="11" t="s">
        <v>35</v>
      </c>
      <c r="L150" s="13"/>
    </row>
    <row r="151" spans="1:12" hidden="1" x14ac:dyDescent="0.3">
      <c r="A151" s="10" t="s">
        <v>17</v>
      </c>
      <c r="B151" s="11" t="s">
        <v>42</v>
      </c>
      <c r="C151" s="11" t="s">
        <v>122</v>
      </c>
      <c r="D151" s="11" t="s">
        <v>398</v>
      </c>
      <c r="E151" s="11" t="s">
        <v>34</v>
      </c>
      <c r="F151" s="12">
        <v>45216</v>
      </c>
      <c r="G151" s="12"/>
      <c r="H151" s="13">
        <v>775</v>
      </c>
      <c r="I151" s="11"/>
      <c r="J151" s="13">
        <v>5</v>
      </c>
      <c r="K151" s="11" t="s">
        <v>18</v>
      </c>
      <c r="L151" s="13"/>
    </row>
    <row r="152" spans="1:12" hidden="1" x14ac:dyDescent="0.3">
      <c r="A152" s="5" t="s">
        <v>247</v>
      </c>
      <c r="B152" s="6" t="s">
        <v>61</v>
      </c>
      <c r="C152" s="6" t="s">
        <v>62</v>
      </c>
      <c r="D152" s="6" t="s">
        <v>248</v>
      </c>
      <c r="E152" s="6" t="s">
        <v>34</v>
      </c>
      <c r="F152" s="7">
        <v>45219</v>
      </c>
      <c r="G152" s="7"/>
      <c r="H152" s="8">
        <v>2077</v>
      </c>
      <c r="I152" s="6" t="s">
        <v>249</v>
      </c>
      <c r="J152" s="8">
        <v>4</v>
      </c>
      <c r="K152" s="6" t="s">
        <v>18</v>
      </c>
      <c r="L152" s="8"/>
    </row>
    <row r="153" spans="1:12" x14ac:dyDescent="0.3">
      <c r="A153" s="10" t="s">
        <v>57</v>
      </c>
      <c r="B153" s="11" t="s">
        <v>45</v>
      </c>
      <c r="C153" s="11" t="s">
        <v>58</v>
      </c>
      <c r="D153" s="11" t="str">
        <f>_xlfn.CONCAT("employees.",  RIGHT('Total employees'!$A13, 4), "@jogate.com")</f>
        <v>employees.1130@jogate.com</v>
      </c>
      <c r="E153" s="11" t="s">
        <v>24</v>
      </c>
      <c r="F153" s="12">
        <v>45231</v>
      </c>
      <c r="G153" s="12">
        <v>47133</v>
      </c>
      <c r="H153" s="13">
        <v>1423</v>
      </c>
      <c r="I153" s="11" t="s">
        <v>59</v>
      </c>
      <c r="J153" s="13">
        <v>5</v>
      </c>
      <c r="K153" s="11" t="s">
        <v>35</v>
      </c>
      <c r="L153" s="13"/>
    </row>
    <row r="154" spans="1:12" x14ac:dyDescent="0.3">
      <c r="A154" s="10" t="s">
        <v>237</v>
      </c>
      <c r="B154" s="11" t="s">
        <v>99</v>
      </c>
      <c r="C154" s="11" t="s">
        <v>100</v>
      </c>
      <c r="D154" s="11" t="str">
        <f>_xlfn.CONCAT("employees.",  RIGHT('Total employees'!$A105, 4), "@jogate.com")</f>
        <v>employees.1197@jogate.com</v>
      </c>
      <c r="E154" s="11" t="s">
        <v>16</v>
      </c>
      <c r="F154" s="12">
        <v>45236</v>
      </c>
      <c r="G154" s="12">
        <v>45783</v>
      </c>
      <c r="H154" s="13">
        <v>397</v>
      </c>
      <c r="I154" s="11"/>
      <c r="J154" s="13">
        <v>3</v>
      </c>
      <c r="K154" s="11" t="s">
        <v>35</v>
      </c>
      <c r="L154" s="13"/>
    </row>
    <row r="155" spans="1:12" hidden="1" x14ac:dyDescent="0.3">
      <c r="A155" s="10" t="s">
        <v>383</v>
      </c>
      <c r="B155" s="11" t="s">
        <v>27</v>
      </c>
      <c r="C155" s="11" t="s">
        <v>87</v>
      </c>
      <c r="D155" s="11" t="s">
        <v>384</v>
      </c>
      <c r="E155" s="11" t="s">
        <v>34</v>
      </c>
      <c r="F155" s="12">
        <v>45261</v>
      </c>
      <c r="G155" s="12"/>
      <c r="H155" s="13">
        <v>973</v>
      </c>
      <c r="I155" s="11" t="s">
        <v>128</v>
      </c>
      <c r="J155" s="13">
        <v>2</v>
      </c>
      <c r="K155" s="11" t="s">
        <v>18</v>
      </c>
      <c r="L155" s="13"/>
    </row>
    <row r="156" spans="1:12" x14ac:dyDescent="0.3">
      <c r="A156" s="10" t="s">
        <v>196</v>
      </c>
      <c r="B156" s="11" t="s">
        <v>21</v>
      </c>
      <c r="C156" s="11" t="s">
        <v>133</v>
      </c>
      <c r="D156" s="11" t="s">
        <v>197</v>
      </c>
      <c r="E156" s="11" t="s">
        <v>24</v>
      </c>
      <c r="F156" s="12">
        <v>45282</v>
      </c>
      <c r="G156" s="12"/>
      <c r="H156" s="13">
        <v>831</v>
      </c>
      <c r="I156" s="11" t="s">
        <v>107</v>
      </c>
      <c r="J156" s="13">
        <v>4</v>
      </c>
      <c r="K156" s="11" t="s">
        <v>18</v>
      </c>
      <c r="L156" s="13"/>
    </row>
    <row r="157" spans="1:12" hidden="1" x14ac:dyDescent="0.3">
      <c r="A157" s="5" t="s">
        <v>169</v>
      </c>
      <c r="B157" s="6" t="s">
        <v>13</v>
      </c>
      <c r="C157" s="6" t="s">
        <v>160</v>
      </c>
      <c r="D157" s="6" t="s">
        <v>170</v>
      </c>
      <c r="E157" s="6" t="s">
        <v>34</v>
      </c>
      <c r="F157" s="7">
        <v>45290</v>
      </c>
      <c r="G157" s="7"/>
      <c r="H157" s="8">
        <v>910</v>
      </c>
      <c r="I157" s="6" t="s">
        <v>171</v>
      </c>
      <c r="J157" s="8">
        <v>2</v>
      </c>
      <c r="K157" s="6" t="s">
        <v>18</v>
      </c>
      <c r="L157" s="8"/>
    </row>
    <row r="158" spans="1:12" x14ac:dyDescent="0.3">
      <c r="A158" s="5" t="s">
        <v>256</v>
      </c>
      <c r="B158" s="6" t="s">
        <v>45</v>
      </c>
      <c r="C158" s="6" t="s">
        <v>58</v>
      </c>
      <c r="D158" s="6" t="s">
        <v>257</v>
      </c>
      <c r="E158" s="6" t="s">
        <v>24</v>
      </c>
      <c r="F158" s="7">
        <v>45326</v>
      </c>
      <c r="G158" s="7"/>
      <c r="H158" s="8">
        <v>1522</v>
      </c>
      <c r="I158" s="6" t="s">
        <v>59</v>
      </c>
      <c r="J158" s="8">
        <v>5</v>
      </c>
      <c r="K158" s="6" t="s">
        <v>18</v>
      </c>
      <c r="L158" s="8"/>
    </row>
    <row r="159" spans="1:12" x14ac:dyDescent="0.3">
      <c r="A159" s="5" t="s">
        <v>173</v>
      </c>
      <c r="B159" s="6" t="s">
        <v>99</v>
      </c>
      <c r="C159" s="6" t="s">
        <v>138</v>
      </c>
      <c r="D159" s="6" t="s">
        <v>174</v>
      </c>
      <c r="E159" s="6" t="s">
        <v>24</v>
      </c>
      <c r="F159" s="7">
        <v>45336</v>
      </c>
      <c r="G159" s="7"/>
      <c r="H159" s="8">
        <v>956</v>
      </c>
      <c r="I159" s="6" t="s">
        <v>79</v>
      </c>
      <c r="J159" s="8">
        <v>3</v>
      </c>
      <c r="K159" s="6" t="s">
        <v>18</v>
      </c>
      <c r="L159" s="8"/>
    </row>
    <row r="160" spans="1:12" x14ac:dyDescent="0.3">
      <c r="A160" s="5" t="s">
        <v>76</v>
      </c>
      <c r="B160" s="6" t="s">
        <v>45</v>
      </c>
      <c r="C160" s="6" t="s">
        <v>97</v>
      </c>
      <c r="D160" s="6" t="str">
        <f>_xlfn.CONCAT("employees.",  RIGHT('Total employees'!$A30, 4), "@jogate.com")</f>
        <v>employees.1136@jogate.com</v>
      </c>
      <c r="E160" s="6" t="s">
        <v>24</v>
      </c>
      <c r="F160" s="7">
        <v>45350</v>
      </c>
      <c r="G160" s="7"/>
      <c r="H160" s="8">
        <v>625</v>
      </c>
      <c r="I160" s="6"/>
      <c r="J160" s="8">
        <v>2</v>
      </c>
      <c r="K160" s="6" t="s">
        <v>18</v>
      </c>
      <c r="L160" s="8"/>
    </row>
    <row r="161" spans="1:12" x14ac:dyDescent="0.3">
      <c r="A161" s="5" t="s">
        <v>180</v>
      </c>
      <c r="B161" s="6" t="s">
        <v>31</v>
      </c>
      <c r="C161" s="6" t="s">
        <v>74</v>
      </c>
      <c r="D161" s="6" t="s">
        <v>181</v>
      </c>
      <c r="E161" s="6" t="s">
        <v>24</v>
      </c>
      <c r="F161" s="7">
        <v>45354</v>
      </c>
      <c r="G161" s="7"/>
      <c r="H161" s="8">
        <v>678</v>
      </c>
      <c r="I161" s="6" t="s">
        <v>91</v>
      </c>
      <c r="J161" s="8">
        <v>4</v>
      </c>
      <c r="K161" s="6" t="s">
        <v>18</v>
      </c>
      <c r="L161" s="8"/>
    </row>
    <row r="162" spans="1:12" x14ac:dyDescent="0.3">
      <c r="A162" s="10" t="s">
        <v>401</v>
      </c>
      <c r="B162" s="11" t="s">
        <v>31</v>
      </c>
      <c r="C162" s="11" t="s">
        <v>74</v>
      </c>
      <c r="D162" s="11" t="s">
        <v>402</v>
      </c>
      <c r="E162" s="11" t="s">
        <v>24</v>
      </c>
      <c r="F162" s="12">
        <v>45356</v>
      </c>
      <c r="G162" s="12"/>
      <c r="H162" s="13">
        <v>1658</v>
      </c>
      <c r="I162" s="11" t="s">
        <v>146</v>
      </c>
      <c r="J162" s="13">
        <v>3</v>
      </c>
      <c r="K162" s="11" t="s">
        <v>18</v>
      </c>
      <c r="L162" s="13"/>
    </row>
    <row r="163" spans="1:12" x14ac:dyDescent="0.3">
      <c r="A163" s="5" t="s">
        <v>283</v>
      </c>
      <c r="B163" s="6" t="s">
        <v>61</v>
      </c>
      <c r="C163" s="6" t="s">
        <v>78</v>
      </c>
      <c r="D163" s="6" t="s">
        <v>284</v>
      </c>
      <c r="E163" s="6" t="s">
        <v>24</v>
      </c>
      <c r="F163" s="7">
        <v>45368</v>
      </c>
      <c r="G163" s="7"/>
      <c r="H163" s="8">
        <v>1405</v>
      </c>
      <c r="I163" s="6" t="s">
        <v>12</v>
      </c>
      <c r="J163" s="8">
        <v>2</v>
      </c>
      <c r="K163" s="6" t="s">
        <v>18</v>
      </c>
      <c r="L163" s="8"/>
    </row>
    <row r="164" spans="1:12" x14ac:dyDescent="0.3">
      <c r="A164" s="10" t="s">
        <v>115</v>
      </c>
      <c r="B164" s="11" t="s">
        <v>31</v>
      </c>
      <c r="C164" s="11" t="s">
        <v>74</v>
      </c>
      <c r="D164" s="11" t="str">
        <f>_xlfn.CONCAT("employees.",  RIGHT('Total employees'!$A37, 4), "@jogate.com")</f>
        <v>employees.1134@jogate.com</v>
      </c>
      <c r="E164" s="11" t="s">
        <v>24</v>
      </c>
      <c r="F164" s="12">
        <v>45371</v>
      </c>
      <c r="G164" s="12">
        <v>45843</v>
      </c>
      <c r="H164" s="13">
        <v>1411</v>
      </c>
      <c r="I164" s="11" t="s">
        <v>88</v>
      </c>
      <c r="J164" s="13">
        <v>2</v>
      </c>
      <c r="K164" s="11" t="s">
        <v>35</v>
      </c>
      <c r="L164" s="13"/>
    </row>
    <row r="165" spans="1:12" hidden="1" x14ac:dyDescent="0.3">
      <c r="A165" s="5" t="s">
        <v>80</v>
      </c>
      <c r="B165" s="6" t="s">
        <v>21</v>
      </c>
      <c r="C165" s="6" t="s">
        <v>22</v>
      </c>
      <c r="D165" s="6" t="str">
        <f>_xlfn.CONCAT("employees.",  RIGHT('Total employees'!$A22, 4), "@jogate.com")</f>
        <v>employees.1135@jogate.com</v>
      </c>
      <c r="E165" s="6" t="s">
        <v>34</v>
      </c>
      <c r="F165" s="7">
        <v>45376</v>
      </c>
      <c r="G165" s="7"/>
      <c r="H165" s="8">
        <v>985</v>
      </c>
      <c r="I165" s="6" t="s">
        <v>81</v>
      </c>
      <c r="J165" s="8">
        <v>5</v>
      </c>
      <c r="K165" s="6" t="s">
        <v>18</v>
      </c>
      <c r="L165" s="8"/>
    </row>
    <row r="166" spans="1:12" x14ac:dyDescent="0.3">
      <c r="A166" s="10" t="s">
        <v>191</v>
      </c>
      <c r="B166" s="11" t="s">
        <v>27</v>
      </c>
      <c r="C166" s="11" t="s">
        <v>87</v>
      </c>
      <c r="D166" s="11" t="str">
        <f>_xlfn.CONCAT("employees.",  RIGHT('Total employees'!$A77, 4), "@jogate.com")</f>
        <v>employees.1005@jogate.com</v>
      </c>
      <c r="E166" s="11" t="s">
        <v>24</v>
      </c>
      <c r="F166" s="12">
        <v>45386</v>
      </c>
      <c r="G166" s="12">
        <v>46992</v>
      </c>
      <c r="H166" s="13">
        <v>302</v>
      </c>
      <c r="I166" s="11" t="s">
        <v>12</v>
      </c>
      <c r="J166" s="13">
        <v>2</v>
      </c>
      <c r="K166" s="11" t="s">
        <v>35</v>
      </c>
      <c r="L166" s="13"/>
    </row>
    <row r="167" spans="1:12" x14ac:dyDescent="0.3">
      <c r="A167" s="10" t="s">
        <v>230</v>
      </c>
      <c r="B167" s="11" t="s">
        <v>13</v>
      </c>
      <c r="C167" s="11" t="s">
        <v>14</v>
      </c>
      <c r="D167" s="11" t="str">
        <f>_xlfn.CONCAT("employees.",  RIGHT('Total employees'!$A109, 4), "@jogate.com")</f>
        <v>employees.1008@jogate.com</v>
      </c>
      <c r="E167" s="11" t="s">
        <v>24</v>
      </c>
      <c r="F167" s="12">
        <v>45399</v>
      </c>
      <c r="G167" s="12"/>
      <c r="H167" s="13">
        <v>735</v>
      </c>
      <c r="I167" s="11" t="s">
        <v>171</v>
      </c>
      <c r="J167" s="13">
        <v>3</v>
      </c>
      <c r="K167" s="11" t="s">
        <v>18</v>
      </c>
      <c r="L167" s="13"/>
    </row>
    <row r="168" spans="1:12" x14ac:dyDescent="0.3">
      <c r="A168" s="10" t="s">
        <v>49</v>
      </c>
      <c r="B168" s="11" t="s">
        <v>50</v>
      </c>
      <c r="C168" s="11" t="s">
        <v>51</v>
      </c>
      <c r="D168" s="11" t="s">
        <v>52</v>
      </c>
      <c r="E168" s="11" t="s">
        <v>24</v>
      </c>
      <c r="F168" s="12">
        <v>45411</v>
      </c>
      <c r="G168" s="12"/>
      <c r="H168" s="13">
        <v>1699</v>
      </c>
      <c r="I168" s="11" t="s">
        <v>53</v>
      </c>
      <c r="J168" s="13">
        <v>2</v>
      </c>
      <c r="K168" s="11" t="s">
        <v>18</v>
      </c>
      <c r="L168" s="13"/>
    </row>
    <row r="169" spans="1:12" x14ac:dyDescent="0.3">
      <c r="A169" s="5" t="s">
        <v>114</v>
      </c>
      <c r="B169" s="6" t="s">
        <v>42</v>
      </c>
      <c r="C169" s="6" t="s">
        <v>83</v>
      </c>
      <c r="D169" s="6" t="str">
        <f>_xlfn.CONCAT("employees.",  RIGHT('Total employees'!$A36, 4), "@jogate.com")</f>
        <v>employees.1093@jogate.com</v>
      </c>
      <c r="E169" s="6" t="s">
        <v>24</v>
      </c>
      <c r="F169" s="7">
        <v>45417</v>
      </c>
      <c r="G169" s="7"/>
      <c r="H169" s="8">
        <v>404</v>
      </c>
      <c r="I169" s="6" t="s">
        <v>76</v>
      </c>
      <c r="J169" s="8">
        <v>2</v>
      </c>
      <c r="K169" s="6" t="s">
        <v>18</v>
      </c>
      <c r="L169" s="8"/>
    </row>
    <row r="170" spans="1:12" x14ac:dyDescent="0.3">
      <c r="A170" s="10" t="s">
        <v>111</v>
      </c>
      <c r="B170" s="11" t="s">
        <v>50</v>
      </c>
      <c r="C170" s="11" t="s">
        <v>70</v>
      </c>
      <c r="D170" s="11" t="s">
        <v>112</v>
      </c>
      <c r="E170" s="11" t="s">
        <v>24</v>
      </c>
      <c r="F170" s="12">
        <v>45421</v>
      </c>
      <c r="G170" s="12"/>
      <c r="H170" s="13">
        <v>1820</v>
      </c>
      <c r="I170" s="11" t="s">
        <v>113</v>
      </c>
      <c r="J170" s="13">
        <v>2</v>
      </c>
      <c r="K170" s="11" t="s">
        <v>18</v>
      </c>
      <c r="L170" s="13"/>
    </row>
    <row r="171" spans="1:12" x14ac:dyDescent="0.3">
      <c r="A171" s="5" t="s">
        <v>161</v>
      </c>
      <c r="B171" s="6" t="s">
        <v>21</v>
      </c>
      <c r="C171" s="6" t="s">
        <v>154</v>
      </c>
      <c r="D171" s="6" t="str">
        <f>_xlfn.CONCAT("employees.",  RIGHT('Total employees'!$A58, 4), "@jogate.com")</f>
        <v>employees.1178@jogate.com</v>
      </c>
      <c r="E171" s="6" t="s">
        <v>24</v>
      </c>
      <c r="F171" s="7">
        <v>45437</v>
      </c>
      <c r="G171" s="7"/>
      <c r="H171" s="8">
        <v>523</v>
      </c>
      <c r="I171" s="6" t="s">
        <v>113</v>
      </c>
      <c r="J171" s="8">
        <v>3</v>
      </c>
      <c r="K171" s="6" t="s">
        <v>18</v>
      </c>
      <c r="L171" s="8"/>
    </row>
    <row r="172" spans="1:12" x14ac:dyDescent="0.3">
      <c r="A172" s="10" t="s">
        <v>130</v>
      </c>
      <c r="B172" s="11" t="s">
        <v>27</v>
      </c>
      <c r="C172" s="11" t="s">
        <v>28</v>
      </c>
      <c r="D172" s="11" t="s">
        <v>131</v>
      </c>
      <c r="E172" s="11" t="s">
        <v>24</v>
      </c>
      <c r="F172" s="12">
        <v>45454</v>
      </c>
      <c r="G172" s="12"/>
      <c r="H172" s="13">
        <v>1687</v>
      </c>
      <c r="I172" s="11"/>
      <c r="J172" s="13">
        <v>5</v>
      </c>
      <c r="K172" s="11" t="s">
        <v>18</v>
      </c>
      <c r="L172" s="13"/>
    </row>
    <row r="173" spans="1:12" x14ac:dyDescent="0.3">
      <c r="A173" s="5" t="s">
        <v>370</v>
      </c>
      <c r="B173" s="6" t="s">
        <v>27</v>
      </c>
      <c r="C173" s="6" t="s">
        <v>28</v>
      </c>
      <c r="D173" s="6" t="s">
        <v>371</v>
      </c>
      <c r="E173" s="6" t="s">
        <v>16</v>
      </c>
      <c r="F173" s="7">
        <v>45454</v>
      </c>
      <c r="G173" s="7"/>
      <c r="H173" s="8">
        <v>1867</v>
      </c>
      <c r="I173" s="6"/>
      <c r="J173" s="8">
        <v>5</v>
      </c>
      <c r="K173" s="6" t="s">
        <v>18</v>
      </c>
      <c r="L173" s="8"/>
    </row>
    <row r="174" spans="1:12" x14ac:dyDescent="0.3">
      <c r="A174" s="10" t="s">
        <v>228</v>
      </c>
      <c r="B174" s="11" t="s">
        <v>45</v>
      </c>
      <c r="C174" s="11" t="s">
        <v>46</v>
      </c>
      <c r="D174" s="11" t="s">
        <v>229</v>
      </c>
      <c r="E174" s="11" t="s">
        <v>24</v>
      </c>
      <c r="F174" s="12">
        <v>45463</v>
      </c>
      <c r="G174" s="12"/>
      <c r="H174" s="13">
        <v>506</v>
      </c>
      <c r="I174" s="11" t="s">
        <v>230</v>
      </c>
      <c r="J174" s="13">
        <v>2</v>
      </c>
      <c r="K174" s="11" t="s">
        <v>18</v>
      </c>
      <c r="L174" s="13"/>
    </row>
    <row r="175" spans="1:12" hidden="1" x14ac:dyDescent="0.3">
      <c r="A175" s="10" t="s">
        <v>164</v>
      </c>
      <c r="B175" s="11" t="s">
        <v>31</v>
      </c>
      <c r="C175" s="11" t="s">
        <v>32</v>
      </c>
      <c r="D175" s="11" t="str">
        <f>_xlfn.CONCAT("employees.",  RIGHT('Total employees'!$A61, 4), "@jogate.com")</f>
        <v>employees.1089@jogate.com</v>
      </c>
      <c r="E175" s="11" t="s">
        <v>34</v>
      </c>
      <c r="F175" s="12">
        <v>45472</v>
      </c>
      <c r="G175" s="12"/>
      <c r="H175" s="13">
        <v>1182</v>
      </c>
      <c r="I175" s="11"/>
      <c r="J175" s="13">
        <v>3</v>
      </c>
      <c r="K175" s="11" t="s">
        <v>18</v>
      </c>
      <c r="L175" s="13"/>
    </row>
    <row r="176" spans="1:12" x14ac:dyDescent="0.3">
      <c r="A176" s="5" t="s">
        <v>94</v>
      </c>
      <c r="B176" s="6" t="s">
        <v>31</v>
      </c>
      <c r="C176" s="6" t="s">
        <v>32</v>
      </c>
      <c r="D176" s="6" t="str">
        <f>_xlfn.CONCAT("employees.",  RIGHT('Total employees'!$A28, 4), "@jogate.com")</f>
        <v>employees.1020@jogate.com</v>
      </c>
      <c r="E176" s="6" t="s">
        <v>24</v>
      </c>
      <c r="F176" s="7">
        <v>45492</v>
      </c>
      <c r="G176" s="7">
        <v>47312</v>
      </c>
      <c r="H176" s="8">
        <v>1907</v>
      </c>
      <c r="I176" s="6"/>
      <c r="J176" s="8">
        <v>4</v>
      </c>
      <c r="K176" s="6" t="s">
        <v>35</v>
      </c>
      <c r="L176" s="8"/>
    </row>
    <row r="177" spans="1:12" hidden="1" x14ac:dyDescent="0.3">
      <c r="A177" s="5" t="s">
        <v>272</v>
      </c>
      <c r="B177" s="6" t="s">
        <v>61</v>
      </c>
      <c r="C177" s="6" t="s">
        <v>62</v>
      </c>
      <c r="D177" s="6" t="s">
        <v>273</v>
      </c>
      <c r="E177" s="6" t="s">
        <v>34</v>
      </c>
      <c r="F177" s="7">
        <v>45503</v>
      </c>
      <c r="G177" s="7"/>
      <c r="H177" s="8">
        <v>498</v>
      </c>
      <c r="I177" s="6" t="s">
        <v>17</v>
      </c>
      <c r="J177" s="8">
        <v>2</v>
      </c>
      <c r="K177" s="6" t="s">
        <v>18</v>
      </c>
      <c r="L177" s="8"/>
    </row>
    <row r="178" spans="1:12" x14ac:dyDescent="0.3">
      <c r="A178" s="10" t="s">
        <v>365</v>
      </c>
      <c r="B178" s="11" t="s">
        <v>42</v>
      </c>
      <c r="C178" s="11" t="s">
        <v>83</v>
      </c>
      <c r="D178" s="11" t="s">
        <v>366</v>
      </c>
      <c r="E178" s="11" t="s">
        <v>16</v>
      </c>
      <c r="F178" s="12">
        <v>45512</v>
      </c>
      <c r="G178" s="12"/>
      <c r="H178" s="13">
        <v>1056</v>
      </c>
      <c r="I178" s="11" t="s">
        <v>117</v>
      </c>
      <c r="J178" s="13">
        <v>2</v>
      </c>
      <c r="K178" s="11" t="s">
        <v>18</v>
      </c>
      <c r="L178" s="13"/>
    </row>
    <row r="179" spans="1:12" hidden="1" x14ac:dyDescent="0.3">
      <c r="A179" s="10" t="s">
        <v>186</v>
      </c>
      <c r="B179" s="11" t="s">
        <v>50</v>
      </c>
      <c r="C179" s="11" t="s">
        <v>51</v>
      </c>
      <c r="D179" s="11" t="s">
        <v>187</v>
      </c>
      <c r="E179" s="11" t="s">
        <v>34</v>
      </c>
      <c r="F179" s="12">
        <v>45515</v>
      </c>
      <c r="G179" s="12">
        <v>45785</v>
      </c>
      <c r="H179" s="13">
        <v>720</v>
      </c>
      <c r="I179" s="11" t="s">
        <v>98</v>
      </c>
      <c r="J179" s="13">
        <v>3</v>
      </c>
      <c r="K179" s="11" t="s">
        <v>35</v>
      </c>
      <c r="L179" s="13"/>
    </row>
    <row r="180" spans="1:12" x14ac:dyDescent="0.3">
      <c r="A180" s="5" t="s">
        <v>116</v>
      </c>
      <c r="B180" s="6" t="s">
        <v>27</v>
      </c>
      <c r="C180" s="6" t="s">
        <v>87</v>
      </c>
      <c r="D180" s="6" t="str">
        <f>_xlfn.CONCAT("employees.",  RIGHT('Total employees'!$A38, 4), "@jogate.com")</f>
        <v>employees.1147@jogate.com</v>
      </c>
      <c r="E180" s="6" t="s">
        <v>16</v>
      </c>
      <c r="F180" s="7">
        <v>45549</v>
      </c>
      <c r="G180" s="7"/>
      <c r="H180" s="8">
        <v>1886</v>
      </c>
      <c r="I180" s="6" t="s">
        <v>17</v>
      </c>
      <c r="J180" s="8">
        <v>5</v>
      </c>
      <c r="K180" s="6" t="s">
        <v>18</v>
      </c>
      <c r="L180" s="8"/>
    </row>
    <row r="181" spans="1:12" x14ac:dyDescent="0.3">
      <c r="A181" s="5" t="s">
        <v>300</v>
      </c>
      <c r="B181" s="6" t="s">
        <v>27</v>
      </c>
      <c r="C181" s="6" t="s">
        <v>90</v>
      </c>
      <c r="D181" s="6" t="s">
        <v>301</v>
      </c>
      <c r="E181" s="6" t="s">
        <v>16</v>
      </c>
      <c r="F181" s="7">
        <v>45581</v>
      </c>
      <c r="G181" s="7"/>
      <c r="H181" s="8">
        <v>529</v>
      </c>
      <c r="I181" s="6" t="s">
        <v>64</v>
      </c>
      <c r="J181" s="8">
        <v>3</v>
      </c>
      <c r="K181" s="6" t="s">
        <v>18</v>
      </c>
      <c r="L181" s="8"/>
    </row>
    <row r="182" spans="1:12" hidden="1" x14ac:dyDescent="0.3">
      <c r="A182" s="5" t="s">
        <v>93</v>
      </c>
      <c r="B182" s="6" t="s">
        <v>45</v>
      </c>
      <c r="C182" s="6" t="s">
        <v>97</v>
      </c>
      <c r="D182" s="6" t="s">
        <v>227</v>
      </c>
      <c r="E182" s="6" t="s">
        <v>34</v>
      </c>
      <c r="F182" s="7">
        <v>45584</v>
      </c>
      <c r="G182" s="7"/>
      <c r="H182" s="8">
        <v>1787</v>
      </c>
      <c r="I182" s="6"/>
      <c r="J182" s="8">
        <v>5</v>
      </c>
      <c r="K182" s="6" t="s">
        <v>18</v>
      </c>
      <c r="L182" s="8"/>
    </row>
    <row r="183" spans="1:12" x14ac:dyDescent="0.3">
      <c r="A183" s="5" t="s">
        <v>236</v>
      </c>
      <c r="B183" s="6" t="s">
        <v>13</v>
      </c>
      <c r="C183" s="6" t="s">
        <v>14</v>
      </c>
      <c r="D183" s="6" t="str">
        <f>_xlfn.CONCAT("employees.",  RIGHT('Total employees'!$A104, 4), "@jogate.com")</f>
        <v>employees.1091@jogate.com</v>
      </c>
      <c r="E183" s="6" t="s">
        <v>24</v>
      </c>
      <c r="F183" s="7">
        <v>45626</v>
      </c>
      <c r="G183" s="7"/>
      <c r="H183" s="8">
        <v>1711</v>
      </c>
      <c r="I183" s="6" t="s">
        <v>210</v>
      </c>
      <c r="J183" s="8">
        <v>5</v>
      </c>
      <c r="K183" s="6" t="s">
        <v>18</v>
      </c>
      <c r="L183" s="8"/>
    </row>
    <row r="184" spans="1:12" x14ac:dyDescent="0.3">
      <c r="A184" s="5" t="s">
        <v>190</v>
      </c>
      <c r="B184" s="6" t="s">
        <v>21</v>
      </c>
      <c r="C184" s="6" t="s">
        <v>22</v>
      </c>
      <c r="D184" s="6" t="str">
        <f>_xlfn.CONCAT("employees.",  RIGHT('Total employees'!$A76, 4), "@jogate.com")</f>
        <v>employees.1165@jogate.com</v>
      </c>
      <c r="E184" s="6" t="s">
        <v>24</v>
      </c>
      <c r="F184" s="7">
        <v>45704</v>
      </c>
      <c r="G184" s="7"/>
      <c r="H184" s="8">
        <v>352</v>
      </c>
      <c r="I184" s="6" t="s">
        <v>17</v>
      </c>
      <c r="J184" s="8">
        <v>3</v>
      </c>
      <c r="K184" s="6" t="s">
        <v>18</v>
      </c>
      <c r="L184" s="8"/>
    </row>
    <row r="185" spans="1:12" hidden="1" x14ac:dyDescent="0.3">
      <c r="A185" s="10" t="s">
        <v>379</v>
      </c>
      <c r="B185" s="11" t="s">
        <v>13</v>
      </c>
      <c r="C185" s="11" t="s">
        <v>264</v>
      </c>
      <c r="D185" s="11" t="s">
        <v>380</v>
      </c>
      <c r="E185" s="11" t="s">
        <v>34</v>
      </c>
      <c r="F185" s="12">
        <v>45731</v>
      </c>
      <c r="G185" s="12"/>
      <c r="H185" s="13">
        <v>1471</v>
      </c>
      <c r="I185" s="11" t="s">
        <v>146</v>
      </c>
      <c r="J185" s="13">
        <v>5</v>
      </c>
      <c r="K185" s="11" t="s">
        <v>18</v>
      </c>
      <c r="L185" s="13"/>
    </row>
    <row r="186" spans="1:12" x14ac:dyDescent="0.3">
      <c r="A186" s="5" t="s">
        <v>158</v>
      </c>
      <c r="B186" s="6" t="s">
        <v>45</v>
      </c>
      <c r="C186" s="6" t="s">
        <v>46</v>
      </c>
      <c r="D186" s="6" t="str">
        <f>_xlfn.CONCAT("employees.",  RIGHT('Total employees'!$A56, 4), "@jogate.com")</f>
        <v>employees.1088@jogate.com</v>
      </c>
      <c r="E186" s="6" t="s">
        <v>24</v>
      </c>
      <c r="F186" s="7">
        <v>45750</v>
      </c>
      <c r="G186" s="7"/>
      <c r="H186" s="8">
        <v>915</v>
      </c>
      <c r="I186" s="6" t="s">
        <v>79</v>
      </c>
      <c r="J186" s="8">
        <v>5</v>
      </c>
      <c r="K186" s="6" t="s">
        <v>18</v>
      </c>
      <c r="L186" s="8"/>
    </row>
    <row r="187" spans="1:12" x14ac:dyDescent="0.3">
      <c r="A187" s="10" t="s">
        <v>88</v>
      </c>
      <c r="B187" s="11" t="s">
        <v>13</v>
      </c>
      <c r="C187" s="11" t="s">
        <v>14</v>
      </c>
      <c r="D187" s="11" t="s">
        <v>258</v>
      </c>
      <c r="E187" s="11" t="s">
        <v>16</v>
      </c>
      <c r="F187" s="12">
        <v>45751</v>
      </c>
      <c r="G187" s="12"/>
      <c r="H187" s="13">
        <v>1919</v>
      </c>
      <c r="I187" s="11" t="s">
        <v>79</v>
      </c>
      <c r="J187" s="13">
        <v>3</v>
      </c>
      <c r="K187" s="11" t="s">
        <v>18</v>
      </c>
      <c r="L187" s="13"/>
    </row>
    <row r="188" spans="1:12" x14ac:dyDescent="0.3">
      <c r="A188" s="5" t="s">
        <v>148</v>
      </c>
      <c r="B188" s="6" t="s">
        <v>61</v>
      </c>
      <c r="C188" s="6" t="s">
        <v>62</v>
      </c>
      <c r="D188" s="6" t="s">
        <v>149</v>
      </c>
      <c r="E188" s="6" t="s">
        <v>16</v>
      </c>
      <c r="F188" s="7">
        <v>45754</v>
      </c>
      <c r="G188" s="7"/>
      <c r="H188" s="8">
        <v>1192</v>
      </c>
      <c r="I188" s="6" t="s">
        <v>150</v>
      </c>
      <c r="J188" s="8">
        <v>4</v>
      </c>
      <c r="K188" s="6" t="s">
        <v>18</v>
      </c>
      <c r="L188" s="8"/>
    </row>
    <row r="189" spans="1:12" hidden="1" x14ac:dyDescent="0.3">
      <c r="A189" s="10" t="s">
        <v>121</v>
      </c>
      <c r="B189" s="11" t="s">
        <v>42</v>
      </c>
      <c r="C189" s="11" t="s">
        <v>122</v>
      </c>
      <c r="D189" s="11" t="s">
        <v>123</v>
      </c>
      <c r="E189" s="11" t="s">
        <v>34</v>
      </c>
      <c r="F189" s="12">
        <v>45767</v>
      </c>
      <c r="G189" s="12"/>
      <c r="H189" s="13">
        <v>1144</v>
      </c>
      <c r="I189" s="11"/>
      <c r="J189" s="13">
        <v>3</v>
      </c>
      <c r="K189" s="11" t="s">
        <v>18</v>
      </c>
      <c r="L189" s="13"/>
    </row>
    <row r="190" spans="1:12" x14ac:dyDescent="0.3">
      <c r="A190" s="5" t="s">
        <v>60</v>
      </c>
      <c r="B190" s="6" t="s">
        <v>61</v>
      </c>
      <c r="C190" s="6" t="s">
        <v>62</v>
      </c>
      <c r="D190" s="6" t="s">
        <v>63</v>
      </c>
      <c r="E190" s="6" t="s">
        <v>24</v>
      </c>
      <c r="F190" s="7">
        <v>45770</v>
      </c>
      <c r="G190" s="7"/>
      <c r="H190" s="8">
        <v>1524</v>
      </c>
      <c r="I190" s="6" t="s">
        <v>64</v>
      </c>
      <c r="J190" s="8">
        <v>3</v>
      </c>
      <c r="K190" s="6" t="s">
        <v>18</v>
      </c>
      <c r="L190" s="8"/>
    </row>
    <row r="191" spans="1:12" hidden="1" x14ac:dyDescent="0.3">
      <c r="A191" s="5" t="s">
        <v>238</v>
      </c>
      <c r="B191" s="6" t="s">
        <v>61</v>
      </c>
      <c r="C191" s="6" t="s">
        <v>78</v>
      </c>
      <c r="D191" s="6" t="str">
        <f>_xlfn.CONCAT("employees.",  RIGHT('Total employees'!$A106, 4), "@jogate.com")</f>
        <v>employees.1118@jogate.com</v>
      </c>
      <c r="E191" s="6" t="s">
        <v>34</v>
      </c>
      <c r="F191" s="7">
        <v>45771</v>
      </c>
      <c r="G191" s="7"/>
      <c r="H191" s="8">
        <v>1985</v>
      </c>
      <c r="I191" s="6" t="s">
        <v>96</v>
      </c>
      <c r="J191" s="8">
        <v>3</v>
      </c>
      <c r="K191" s="6" t="s">
        <v>18</v>
      </c>
      <c r="L191" s="8"/>
    </row>
    <row r="192" spans="1:12" x14ac:dyDescent="0.3">
      <c r="A192" s="10" t="s">
        <v>216</v>
      </c>
      <c r="B192" s="11" t="s">
        <v>45</v>
      </c>
      <c r="C192" s="11" t="s">
        <v>58</v>
      </c>
      <c r="D192" s="11" t="s">
        <v>217</v>
      </c>
      <c r="E192" s="11" t="s">
        <v>24</v>
      </c>
      <c r="F192" s="12">
        <v>45773</v>
      </c>
      <c r="G192" s="12">
        <v>46809</v>
      </c>
      <c r="H192" s="13">
        <v>1097</v>
      </c>
      <c r="I192" s="11" t="s">
        <v>88</v>
      </c>
      <c r="J192" s="13">
        <v>2</v>
      </c>
      <c r="K192" s="11" t="s">
        <v>35</v>
      </c>
      <c r="L192" s="13"/>
    </row>
    <row r="193" spans="1:12" x14ac:dyDescent="0.3">
      <c r="A193" s="5" t="s">
        <v>143</v>
      </c>
      <c r="B193" s="6" t="s">
        <v>31</v>
      </c>
      <c r="C193" s="6" t="s">
        <v>74</v>
      </c>
      <c r="D193" s="6" t="s">
        <v>144</v>
      </c>
      <c r="E193" s="6" t="s">
        <v>24</v>
      </c>
      <c r="F193" s="7">
        <v>45785</v>
      </c>
      <c r="G193" s="7"/>
      <c r="H193" s="8">
        <v>1798</v>
      </c>
      <c r="I193" s="6" t="s">
        <v>145</v>
      </c>
      <c r="J193" s="8">
        <v>2</v>
      </c>
      <c r="K193" s="6" t="s">
        <v>18</v>
      </c>
      <c r="L193" s="8"/>
    </row>
    <row r="194" spans="1:12" x14ac:dyDescent="0.3">
      <c r="A194" s="5" t="s">
        <v>259</v>
      </c>
      <c r="B194" s="6" t="s">
        <v>21</v>
      </c>
      <c r="C194" s="6" t="s">
        <v>22</v>
      </c>
      <c r="D194" s="6" t="s">
        <v>260</v>
      </c>
      <c r="E194" s="6" t="s">
        <v>24</v>
      </c>
      <c r="F194" s="7">
        <v>45805</v>
      </c>
      <c r="G194" s="7"/>
      <c r="H194" s="8">
        <v>1677</v>
      </c>
      <c r="I194" s="6" t="s">
        <v>141</v>
      </c>
      <c r="J194" s="8">
        <v>4</v>
      </c>
      <c r="K194" s="6" t="s">
        <v>18</v>
      </c>
      <c r="L194" s="8"/>
    </row>
    <row r="195" spans="1:12" hidden="1" x14ac:dyDescent="0.3">
      <c r="A195" s="10" t="s">
        <v>208</v>
      </c>
      <c r="B195" s="11" t="s">
        <v>61</v>
      </c>
      <c r="C195" s="11" t="s">
        <v>62</v>
      </c>
      <c r="D195" s="11" t="s">
        <v>209</v>
      </c>
      <c r="E195" s="11" t="s">
        <v>34</v>
      </c>
      <c r="F195" s="12">
        <v>45831</v>
      </c>
      <c r="G195" s="12"/>
      <c r="H195" s="13">
        <v>1699</v>
      </c>
      <c r="I195" s="11" t="s">
        <v>210</v>
      </c>
      <c r="J195" s="13">
        <v>2</v>
      </c>
      <c r="K195" s="11" t="s">
        <v>18</v>
      </c>
      <c r="L195" s="13"/>
    </row>
    <row r="196" spans="1:12" hidden="1" x14ac:dyDescent="0.3">
      <c r="A196" s="5" t="s">
        <v>156</v>
      </c>
      <c r="B196" s="6" t="s">
        <v>45</v>
      </c>
      <c r="C196" s="6" t="s">
        <v>97</v>
      </c>
      <c r="D196" s="6" t="s">
        <v>276</v>
      </c>
      <c r="E196" s="6" t="s">
        <v>34</v>
      </c>
      <c r="F196" s="7">
        <v>45870</v>
      </c>
      <c r="G196" s="7"/>
      <c r="H196" s="8">
        <v>1570</v>
      </c>
      <c r="I196" s="6"/>
      <c r="J196" s="8">
        <v>5</v>
      </c>
      <c r="K196" s="6" t="s">
        <v>18</v>
      </c>
      <c r="L196" s="8"/>
    </row>
    <row r="197" spans="1:12" hidden="1" x14ac:dyDescent="0.3">
      <c r="A197" s="5" t="s">
        <v>163</v>
      </c>
      <c r="B197" s="6" t="s">
        <v>21</v>
      </c>
      <c r="C197" s="6" t="s">
        <v>154</v>
      </c>
      <c r="D197" s="6" t="str">
        <f>_xlfn.CONCAT("employees.",  RIGHT('Total employees'!$A60, 4), "@jogate.com")</f>
        <v>employees.1112@jogate.com</v>
      </c>
      <c r="E197" s="6" t="s">
        <v>34</v>
      </c>
      <c r="F197" s="7">
        <v>45871</v>
      </c>
      <c r="G197" s="7"/>
      <c r="H197" s="8">
        <v>2027</v>
      </c>
      <c r="I197" s="6" t="s">
        <v>84</v>
      </c>
      <c r="J197" s="8">
        <v>5</v>
      </c>
      <c r="K197" s="6" t="s">
        <v>18</v>
      </c>
      <c r="L197" s="8"/>
    </row>
    <row r="198" spans="1:12" hidden="1" x14ac:dyDescent="0.3">
      <c r="A198" s="10" t="s">
        <v>92</v>
      </c>
      <c r="B198" s="11" t="s">
        <v>21</v>
      </c>
      <c r="C198" s="11" t="s">
        <v>22</v>
      </c>
      <c r="D198" s="11" t="str">
        <f>_xlfn.CONCAT("employees.",  RIGHT('Total employees'!$A27, 4), "@jogate.com")</f>
        <v>employees.1092@jogate.com</v>
      </c>
      <c r="E198" s="11" t="s">
        <v>34</v>
      </c>
      <c r="F198" s="12">
        <v>45912</v>
      </c>
      <c r="G198" s="12"/>
      <c r="H198" s="13">
        <v>1456</v>
      </c>
      <c r="I198" s="11" t="s">
        <v>93</v>
      </c>
      <c r="J198" s="13">
        <v>4</v>
      </c>
      <c r="K198" s="11" t="s">
        <v>18</v>
      </c>
      <c r="L198" s="13"/>
    </row>
    <row r="199" spans="1:12" hidden="1" x14ac:dyDescent="0.3">
      <c r="A199" s="5" t="s">
        <v>184</v>
      </c>
      <c r="B199" s="6" t="s">
        <v>21</v>
      </c>
      <c r="C199" s="6" t="s">
        <v>22</v>
      </c>
      <c r="D199" s="6" t="s">
        <v>185</v>
      </c>
      <c r="E199" s="6" t="s">
        <v>34</v>
      </c>
      <c r="F199" s="7">
        <v>45940</v>
      </c>
      <c r="G199" s="7">
        <v>47501</v>
      </c>
      <c r="H199" s="8">
        <v>593</v>
      </c>
      <c r="I199" s="6" t="s">
        <v>84</v>
      </c>
      <c r="J199" s="8">
        <v>2</v>
      </c>
      <c r="K199" s="6" t="s">
        <v>35</v>
      </c>
      <c r="L199" s="8"/>
    </row>
    <row r="200" spans="1:12" hidden="1" x14ac:dyDescent="0.3">
      <c r="A200" s="10" t="s">
        <v>266</v>
      </c>
      <c r="B200" s="11" t="s">
        <v>61</v>
      </c>
      <c r="C200" s="11" t="s">
        <v>62</v>
      </c>
      <c r="D200" s="11" t="s">
        <v>267</v>
      </c>
      <c r="E200" s="11" t="s">
        <v>34</v>
      </c>
      <c r="F200" s="12">
        <v>45943</v>
      </c>
      <c r="G200" s="12"/>
      <c r="H200" s="13">
        <v>1350</v>
      </c>
      <c r="I200" s="11" t="s">
        <v>237</v>
      </c>
      <c r="J200" s="13">
        <v>3</v>
      </c>
      <c r="K200" s="11" t="s">
        <v>18</v>
      </c>
      <c r="L200" s="13"/>
    </row>
    <row r="201" spans="1:12" ht="15" thickBot="1" x14ac:dyDescent="0.35">
      <c r="A201" s="5" t="s">
        <v>363</v>
      </c>
      <c r="B201" s="6" t="s">
        <v>27</v>
      </c>
      <c r="C201" s="6" t="s">
        <v>87</v>
      </c>
      <c r="D201" s="6" t="s">
        <v>364</v>
      </c>
      <c r="E201" s="6" t="s">
        <v>16</v>
      </c>
      <c r="F201" s="7">
        <v>45946</v>
      </c>
      <c r="G201" s="7"/>
      <c r="H201" s="8">
        <v>1153</v>
      </c>
      <c r="I201" s="6" t="s">
        <v>94</v>
      </c>
      <c r="J201" s="8">
        <v>4</v>
      </c>
      <c r="K201" s="6" t="s">
        <v>18</v>
      </c>
      <c r="L201" s="8"/>
    </row>
    <row r="202" spans="1:12" ht="15" thickTop="1" x14ac:dyDescent="0.3">
      <c r="A202" s="15"/>
      <c r="B202" s="16"/>
      <c r="C202" s="16"/>
      <c r="D202" s="16"/>
      <c r="E202" s="16"/>
      <c r="F202" s="17"/>
      <c r="G202" s="17"/>
      <c r="H202" s="2"/>
      <c r="I202" s="16"/>
      <c r="J202" s="2"/>
      <c r="K202" s="16"/>
      <c r="L202" s="2"/>
    </row>
  </sheetData>
  <autoFilter ref="A1:L201" xr:uid="{5DF3B1B0-615D-4DA6-AE41-448F4D696987}">
    <filterColumn colId="4">
      <filters>
        <filter val="Female"/>
        <filter val="Male"/>
      </filters>
    </filterColumn>
    <sortState xmlns:xlrd2="http://schemas.microsoft.com/office/spreadsheetml/2017/richdata2" ref="A2:L201">
      <sortCondition ref="F1:F201"/>
    </sortState>
  </autoFilter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0610-82D6-4AA6-8BFB-7E76FCBEF6FD}">
  <sheetPr filterMode="1"/>
  <dimension ref="A1:P202"/>
  <sheetViews>
    <sheetView topLeftCell="L1" zoomScale="85" workbookViewId="0"/>
  </sheetViews>
  <sheetFormatPr defaultRowHeight="14.4" x14ac:dyDescent="0.3"/>
  <cols>
    <col min="1" max="1" width="13.33203125" bestFit="1" customWidth="1"/>
    <col min="2" max="2" width="21.88671875" bestFit="1" customWidth="1"/>
    <col min="3" max="3" width="20.44140625" bestFit="1" customWidth="1"/>
    <col min="4" max="4" width="30.33203125" customWidth="1"/>
    <col min="5" max="5" width="9.33203125" bestFit="1" customWidth="1"/>
    <col min="6" max="6" width="22.88671875" customWidth="1"/>
    <col min="7" max="7" width="17.44140625" bestFit="1" customWidth="1"/>
    <col min="8" max="8" width="8.44140625" bestFit="1" customWidth="1"/>
    <col min="9" max="9" width="12.5546875" bestFit="1" customWidth="1"/>
    <col min="10" max="10" width="19.77734375" bestFit="1" customWidth="1"/>
    <col min="11" max="11" width="12.77734375" customWidth="1"/>
    <col min="12" max="12" width="11.77734375" bestFit="1" customWidth="1"/>
    <col min="14" max="14" width="22.88671875" bestFit="1" customWidth="1"/>
    <col min="15" max="16" width="16.6640625" bestFit="1" customWidth="1"/>
    <col min="17" max="18" width="11.44140625" bestFit="1" customWidth="1"/>
    <col min="19" max="19" width="11.21875" bestFit="1" customWidth="1"/>
    <col min="20" max="20" width="10.44140625" bestFit="1" customWidth="1"/>
    <col min="21" max="21" width="11.44140625" bestFit="1" customWidth="1"/>
  </cols>
  <sheetData>
    <row r="1" spans="1:1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idden="1" x14ac:dyDescent="0.3">
      <c r="A2" s="5" t="s">
        <v>330</v>
      </c>
      <c r="B2" s="6" t="s">
        <v>13</v>
      </c>
      <c r="C2" s="6" t="s">
        <v>264</v>
      </c>
      <c r="D2" s="6" t="s">
        <v>331</v>
      </c>
      <c r="E2" s="6" t="s">
        <v>34</v>
      </c>
      <c r="F2" s="7">
        <v>43120</v>
      </c>
      <c r="G2" s="7"/>
      <c r="H2" s="8">
        <v>403</v>
      </c>
      <c r="I2" s="6" t="s">
        <v>141</v>
      </c>
      <c r="J2" s="8">
        <v>2</v>
      </c>
      <c r="K2" s="6" t="s">
        <v>18</v>
      </c>
      <c r="L2" s="8"/>
      <c r="N2" s="9" t="s">
        <v>19</v>
      </c>
    </row>
    <row r="3" spans="1:16" x14ac:dyDescent="0.3">
      <c r="A3" s="5" t="s">
        <v>108</v>
      </c>
      <c r="B3" s="6" t="s">
        <v>27</v>
      </c>
      <c r="C3" s="6" t="s">
        <v>87</v>
      </c>
      <c r="D3" s="6" t="s">
        <v>109</v>
      </c>
      <c r="E3" s="6" t="s">
        <v>24</v>
      </c>
      <c r="F3" s="7">
        <v>43130</v>
      </c>
      <c r="G3" s="7"/>
      <c r="H3" s="8">
        <v>1785</v>
      </c>
      <c r="I3" s="6" t="s">
        <v>110</v>
      </c>
      <c r="J3" s="8">
        <v>4</v>
      </c>
      <c r="K3" s="6" t="s">
        <v>18</v>
      </c>
      <c r="L3" s="8"/>
      <c r="N3" s="14"/>
    </row>
    <row r="4" spans="1:16" x14ac:dyDescent="0.3">
      <c r="A4" s="5" t="s">
        <v>338</v>
      </c>
      <c r="B4" s="6" t="s">
        <v>50</v>
      </c>
      <c r="C4" s="6" t="s">
        <v>70</v>
      </c>
      <c r="D4" s="6" t="s">
        <v>339</v>
      </c>
      <c r="E4" s="6" t="s">
        <v>24</v>
      </c>
      <c r="F4" s="7">
        <v>43138</v>
      </c>
      <c r="G4" s="7">
        <v>44980</v>
      </c>
      <c r="H4" s="8">
        <v>551</v>
      </c>
      <c r="I4" s="6" t="s">
        <v>68</v>
      </c>
      <c r="J4" s="8">
        <v>3</v>
      </c>
      <c r="K4" s="6" t="s">
        <v>35</v>
      </c>
      <c r="L4" s="8"/>
      <c r="N4" s="9"/>
    </row>
    <row r="5" spans="1:16" x14ac:dyDescent="0.3">
      <c r="A5" s="10" t="s">
        <v>65</v>
      </c>
      <c r="B5" s="11" t="s">
        <v>61</v>
      </c>
      <c r="C5" s="11" t="s">
        <v>66</v>
      </c>
      <c r="D5" s="11" t="s">
        <v>67</v>
      </c>
      <c r="E5" s="11" t="s">
        <v>24</v>
      </c>
      <c r="F5" s="12">
        <v>43162</v>
      </c>
      <c r="G5" s="12"/>
      <c r="H5" s="13">
        <v>1150</v>
      </c>
      <c r="I5" s="11" t="s">
        <v>68</v>
      </c>
      <c r="J5" s="13">
        <v>2</v>
      </c>
      <c r="K5" s="11" t="s">
        <v>18</v>
      </c>
      <c r="L5" s="13"/>
      <c r="N5" s="14"/>
      <c r="O5" s="20"/>
      <c r="P5" s="20"/>
    </row>
    <row r="6" spans="1:16" hidden="1" x14ac:dyDescent="0.3">
      <c r="A6" s="10" t="s">
        <v>261</v>
      </c>
      <c r="B6" s="11" t="s">
        <v>31</v>
      </c>
      <c r="C6" s="11" t="s">
        <v>74</v>
      </c>
      <c r="D6" s="11" t="s">
        <v>262</v>
      </c>
      <c r="E6" s="11" t="s">
        <v>34</v>
      </c>
      <c r="F6" s="12">
        <v>43171</v>
      </c>
      <c r="G6" s="12"/>
      <c r="H6" s="13">
        <v>1528</v>
      </c>
      <c r="I6" s="11" t="s">
        <v>130</v>
      </c>
      <c r="J6" s="13">
        <v>5</v>
      </c>
      <c r="K6" s="11" t="s">
        <v>18</v>
      </c>
      <c r="L6" s="13"/>
      <c r="N6" s="9" t="s">
        <v>38</v>
      </c>
      <c r="O6" t="s">
        <v>403</v>
      </c>
      <c r="P6">
        <f>AVERAGE(H2:H201)</f>
        <v>1201.8150000000001</v>
      </c>
    </row>
    <row r="7" spans="1:16" x14ac:dyDescent="0.3">
      <c r="A7" s="5" t="s">
        <v>81</v>
      </c>
      <c r="B7" s="6" t="s">
        <v>99</v>
      </c>
      <c r="C7" s="6" t="s">
        <v>100</v>
      </c>
      <c r="D7" s="6" t="s">
        <v>224</v>
      </c>
      <c r="E7" s="6" t="s">
        <v>24</v>
      </c>
      <c r="F7" s="7">
        <v>43184</v>
      </c>
      <c r="G7" s="7">
        <v>44764</v>
      </c>
      <c r="H7" s="8">
        <v>1696</v>
      </c>
      <c r="I7" s="6"/>
      <c r="J7" s="8">
        <v>5</v>
      </c>
      <c r="K7" s="6" t="s">
        <v>35</v>
      </c>
      <c r="L7" s="8"/>
      <c r="N7" s="14"/>
      <c r="O7" s="20"/>
      <c r="P7" s="20"/>
    </row>
    <row r="8" spans="1:16" x14ac:dyDescent="0.3">
      <c r="A8" s="5" t="s">
        <v>279</v>
      </c>
      <c r="B8" s="6" t="s">
        <v>21</v>
      </c>
      <c r="C8" s="6" t="s">
        <v>133</v>
      </c>
      <c r="D8" s="6" t="s">
        <v>280</v>
      </c>
      <c r="E8" s="6" t="s">
        <v>24</v>
      </c>
      <c r="F8" s="7">
        <v>43189</v>
      </c>
      <c r="G8" s="7"/>
      <c r="H8" s="8">
        <v>338</v>
      </c>
      <c r="I8" s="6" t="s">
        <v>140</v>
      </c>
      <c r="J8" s="8">
        <v>3</v>
      </c>
      <c r="K8" s="6" t="s">
        <v>18</v>
      </c>
      <c r="L8" s="8"/>
      <c r="N8" s="9"/>
      <c r="O8" s="20"/>
      <c r="P8" s="21"/>
    </row>
    <row r="9" spans="1:16" x14ac:dyDescent="0.3">
      <c r="A9" s="10" t="s">
        <v>151</v>
      </c>
      <c r="B9" s="11" t="s">
        <v>13</v>
      </c>
      <c r="C9" s="11" t="s">
        <v>14</v>
      </c>
      <c r="D9" s="11" t="s">
        <v>152</v>
      </c>
      <c r="E9" s="11" t="s">
        <v>24</v>
      </c>
      <c r="F9" s="12">
        <v>43200</v>
      </c>
      <c r="G9" s="12"/>
      <c r="H9" s="13">
        <v>318</v>
      </c>
      <c r="I9" s="11" t="s">
        <v>91</v>
      </c>
      <c r="J9" s="13">
        <v>2</v>
      </c>
      <c r="K9" s="11" t="s">
        <v>18</v>
      </c>
      <c r="L9" s="13"/>
      <c r="O9" s="20"/>
      <c r="P9" s="21"/>
    </row>
    <row r="10" spans="1:16" x14ac:dyDescent="0.3">
      <c r="A10" s="10" t="s">
        <v>71</v>
      </c>
      <c r="B10" s="11" t="s">
        <v>42</v>
      </c>
      <c r="C10" s="11" t="s">
        <v>43</v>
      </c>
      <c r="D10" s="11" t="s">
        <v>369</v>
      </c>
      <c r="E10" s="11" t="s">
        <v>24</v>
      </c>
      <c r="F10" s="12">
        <v>43205</v>
      </c>
      <c r="G10" s="12"/>
      <c r="H10" s="13">
        <v>1646</v>
      </c>
      <c r="I10" s="11"/>
      <c r="J10" s="13">
        <v>2</v>
      </c>
      <c r="K10" s="11" t="s">
        <v>18</v>
      </c>
      <c r="L10" s="13"/>
    </row>
    <row r="11" spans="1:16" x14ac:dyDescent="0.3">
      <c r="A11" s="10" t="s">
        <v>353</v>
      </c>
      <c r="B11" s="11" t="s">
        <v>45</v>
      </c>
      <c r="C11" s="11" t="s">
        <v>97</v>
      </c>
      <c r="D11" s="11" t="s">
        <v>354</v>
      </c>
      <c r="E11" s="11" t="s">
        <v>16</v>
      </c>
      <c r="F11" s="12">
        <v>43229</v>
      </c>
      <c r="G11" s="12"/>
      <c r="H11" s="13">
        <v>1440</v>
      </c>
      <c r="I11" s="11"/>
      <c r="J11" s="13">
        <v>3</v>
      </c>
      <c r="K11" s="11" t="s">
        <v>18</v>
      </c>
      <c r="L11" s="13"/>
    </row>
    <row r="12" spans="1:16" hidden="1" x14ac:dyDescent="0.3">
      <c r="A12" s="10" t="s">
        <v>145</v>
      </c>
      <c r="B12" s="11" t="s">
        <v>31</v>
      </c>
      <c r="C12" s="11" t="s">
        <v>32</v>
      </c>
      <c r="D12" s="11" t="s">
        <v>387</v>
      </c>
      <c r="E12" s="11" t="s">
        <v>34</v>
      </c>
      <c r="F12" s="12">
        <v>43229</v>
      </c>
      <c r="G12" s="12">
        <v>44618</v>
      </c>
      <c r="H12" s="13">
        <v>2082</v>
      </c>
      <c r="I12" s="11"/>
      <c r="J12" s="13">
        <v>2</v>
      </c>
      <c r="K12" s="11" t="s">
        <v>35</v>
      </c>
      <c r="L12" s="13"/>
    </row>
    <row r="13" spans="1:16" hidden="1" x14ac:dyDescent="0.3">
      <c r="A13" s="10" t="s">
        <v>277</v>
      </c>
      <c r="B13" s="11" t="s">
        <v>21</v>
      </c>
      <c r="C13" s="11" t="s">
        <v>22</v>
      </c>
      <c r="D13" s="11" t="s">
        <v>278</v>
      </c>
      <c r="E13" s="11" t="s">
        <v>34</v>
      </c>
      <c r="F13" s="12">
        <v>43244</v>
      </c>
      <c r="G13" s="12"/>
      <c r="H13" s="13">
        <v>1088</v>
      </c>
      <c r="I13" s="11" t="s">
        <v>79</v>
      </c>
      <c r="J13" s="13">
        <v>3</v>
      </c>
      <c r="K13" s="11" t="s">
        <v>18</v>
      </c>
      <c r="L13" s="13"/>
    </row>
    <row r="14" spans="1:16" hidden="1" x14ac:dyDescent="0.3">
      <c r="A14" s="5" t="s">
        <v>322</v>
      </c>
      <c r="B14" s="6" t="s">
        <v>21</v>
      </c>
      <c r="C14" s="6" t="s">
        <v>154</v>
      </c>
      <c r="D14" s="6" t="s">
        <v>323</v>
      </c>
      <c r="E14" s="6" t="s">
        <v>34</v>
      </c>
      <c r="F14" s="7">
        <v>43263</v>
      </c>
      <c r="G14" s="7"/>
      <c r="H14" s="8">
        <v>1236</v>
      </c>
      <c r="I14" s="6" t="s">
        <v>17</v>
      </c>
      <c r="J14" s="8">
        <v>5</v>
      </c>
      <c r="K14" s="6" t="s">
        <v>18</v>
      </c>
      <c r="L14" s="8"/>
    </row>
    <row r="15" spans="1:16" x14ac:dyDescent="0.3">
      <c r="A15" s="10" t="s">
        <v>204</v>
      </c>
      <c r="B15" s="11" t="s">
        <v>50</v>
      </c>
      <c r="C15" s="11" t="s">
        <v>51</v>
      </c>
      <c r="D15" s="11" t="s">
        <v>205</v>
      </c>
      <c r="E15" s="11" t="s">
        <v>16</v>
      </c>
      <c r="F15" s="12">
        <v>43280</v>
      </c>
      <c r="G15" s="12"/>
      <c r="H15" s="13">
        <v>1554</v>
      </c>
      <c r="I15" s="11" t="s">
        <v>88</v>
      </c>
      <c r="J15" s="13">
        <v>4</v>
      </c>
      <c r="K15" s="11" t="s">
        <v>18</v>
      </c>
      <c r="L15" s="13"/>
    </row>
    <row r="16" spans="1:16" x14ac:dyDescent="0.3">
      <c r="A16" s="10" t="s">
        <v>104</v>
      </c>
      <c r="B16" s="11" t="s">
        <v>45</v>
      </c>
      <c r="C16" s="11" t="s">
        <v>97</v>
      </c>
      <c r="D16" s="11" t="s">
        <v>302</v>
      </c>
      <c r="E16" s="11" t="s">
        <v>16</v>
      </c>
      <c r="F16" s="12">
        <v>43289</v>
      </c>
      <c r="G16" s="12"/>
      <c r="H16" s="13">
        <v>814</v>
      </c>
      <c r="I16" s="11"/>
      <c r="J16" s="13">
        <v>5</v>
      </c>
      <c r="K16" s="11" t="s">
        <v>18</v>
      </c>
      <c r="L16" s="13"/>
      <c r="N16" s="18" t="s">
        <v>404</v>
      </c>
      <c r="O16" t="s">
        <v>409</v>
      </c>
    </row>
    <row r="17" spans="1:15" x14ac:dyDescent="0.3">
      <c r="A17" s="5" t="s">
        <v>110</v>
      </c>
      <c r="B17" s="6" t="s">
        <v>31</v>
      </c>
      <c r="C17" s="6" t="s">
        <v>32</v>
      </c>
      <c r="D17" s="6" t="str">
        <f>_xlfn.CONCAT("employees.",  RIGHT('Average salary'!$A108, 4), "@jogate.com")</f>
        <v>employees.1022@jogate.com</v>
      </c>
      <c r="E17" s="6" t="s">
        <v>16</v>
      </c>
      <c r="F17" s="7">
        <v>43292</v>
      </c>
      <c r="G17" s="7">
        <v>44267</v>
      </c>
      <c r="H17" s="8">
        <v>1594</v>
      </c>
      <c r="I17" s="6"/>
      <c r="J17" s="8">
        <v>2</v>
      </c>
      <c r="K17" s="6" t="s">
        <v>35</v>
      </c>
      <c r="L17" s="8"/>
      <c r="N17" s="19" t="s">
        <v>31</v>
      </c>
      <c r="O17" s="1">
        <v>1375.8965517241379</v>
      </c>
    </row>
    <row r="18" spans="1:15" x14ac:dyDescent="0.3">
      <c r="A18" s="5" t="s">
        <v>263</v>
      </c>
      <c r="B18" s="6" t="s">
        <v>13</v>
      </c>
      <c r="C18" s="6" t="s">
        <v>264</v>
      </c>
      <c r="D18" s="6" t="s">
        <v>265</v>
      </c>
      <c r="E18" s="6" t="s">
        <v>24</v>
      </c>
      <c r="F18" s="7">
        <v>43308</v>
      </c>
      <c r="G18" s="7"/>
      <c r="H18" s="8">
        <v>1591</v>
      </c>
      <c r="I18" s="6" t="s">
        <v>130</v>
      </c>
      <c r="J18" s="8">
        <v>5</v>
      </c>
      <c r="K18" s="6" t="s">
        <v>18</v>
      </c>
      <c r="L18" s="8"/>
      <c r="N18" s="19" t="s">
        <v>50</v>
      </c>
      <c r="O18" s="1">
        <v>1365.25</v>
      </c>
    </row>
    <row r="19" spans="1:15" hidden="1" x14ac:dyDescent="0.3">
      <c r="A19" s="10" t="s">
        <v>324</v>
      </c>
      <c r="B19" s="11" t="s">
        <v>61</v>
      </c>
      <c r="C19" s="11" t="s">
        <v>62</v>
      </c>
      <c r="D19" s="11" t="s">
        <v>325</v>
      </c>
      <c r="E19" s="11" t="s">
        <v>34</v>
      </c>
      <c r="F19" s="12">
        <v>43323</v>
      </c>
      <c r="G19" s="12"/>
      <c r="H19" s="13">
        <v>1899</v>
      </c>
      <c r="I19" s="11" t="s">
        <v>146</v>
      </c>
      <c r="J19" s="13">
        <v>2</v>
      </c>
      <c r="K19" s="11" t="s">
        <v>18</v>
      </c>
      <c r="L19" s="13"/>
      <c r="N19" s="19" t="s">
        <v>61</v>
      </c>
      <c r="O19" s="1">
        <v>1344.695652173913</v>
      </c>
    </row>
    <row r="20" spans="1:15" hidden="1" x14ac:dyDescent="0.3">
      <c r="A20" s="10" t="s">
        <v>140</v>
      </c>
      <c r="B20" s="11" t="s">
        <v>31</v>
      </c>
      <c r="C20" s="11" t="s">
        <v>32</v>
      </c>
      <c r="D20" s="11" t="s">
        <v>356</v>
      </c>
      <c r="E20" s="11" t="s">
        <v>34</v>
      </c>
      <c r="F20" s="12">
        <v>43336</v>
      </c>
      <c r="G20" s="12"/>
      <c r="H20" s="13">
        <v>1529</v>
      </c>
      <c r="I20" s="11"/>
      <c r="J20" s="13">
        <v>3</v>
      </c>
      <c r="K20" s="11" t="s">
        <v>18</v>
      </c>
      <c r="L20" s="13"/>
      <c r="N20" s="19" t="s">
        <v>27</v>
      </c>
      <c r="O20" s="1">
        <v>1289</v>
      </c>
    </row>
    <row r="21" spans="1:15" x14ac:dyDescent="0.3">
      <c r="A21" s="5" t="s">
        <v>188</v>
      </c>
      <c r="B21" s="6" t="s">
        <v>45</v>
      </c>
      <c r="C21" s="6" t="s">
        <v>46</v>
      </c>
      <c r="D21" s="6" t="s">
        <v>189</v>
      </c>
      <c r="E21" s="6" t="s">
        <v>24</v>
      </c>
      <c r="F21" s="7">
        <v>43337</v>
      </c>
      <c r="G21" s="7">
        <v>44278</v>
      </c>
      <c r="H21" s="8">
        <v>1593</v>
      </c>
      <c r="I21" s="6" t="s">
        <v>146</v>
      </c>
      <c r="J21" s="8">
        <v>3</v>
      </c>
      <c r="K21" s="6" t="s">
        <v>35</v>
      </c>
      <c r="L21" s="8"/>
      <c r="N21" s="19" t="s">
        <v>21</v>
      </c>
      <c r="O21" s="1">
        <v>1087.75</v>
      </c>
    </row>
    <row r="22" spans="1:15" x14ac:dyDescent="0.3">
      <c r="A22" s="5" t="s">
        <v>241</v>
      </c>
      <c r="B22" s="6" t="s">
        <v>31</v>
      </c>
      <c r="C22" s="6" t="s">
        <v>32</v>
      </c>
      <c r="D22" s="6" t="s">
        <v>287</v>
      </c>
      <c r="E22" s="6" t="s">
        <v>16</v>
      </c>
      <c r="F22" s="7">
        <v>43345</v>
      </c>
      <c r="G22" s="7"/>
      <c r="H22" s="8">
        <v>1820</v>
      </c>
      <c r="I22" s="6"/>
      <c r="J22" s="8">
        <v>4</v>
      </c>
      <c r="K22" s="6" t="s">
        <v>18</v>
      </c>
      <c r="L22" s="8"/>
      <c r="N22" s="19" t="s">
        <v>45</v>
      </c>
      <c r="O22" s="1">
        <v>1069.3461538461538</v>
      </c>
    </row>
    <row r="23" spans="1:15" x14ac:dyDescent="0.3">
      <c r="A23" s="5" t="s">
        <v>37</v>
      </c>
      <c r="B23" s="6" t="s">
        <v>13</v>
      </c>
      <c r="C23" s="6" t="s">
        <v>14</v>
      </c>
      <c r="D23" s="6" t="s">
        <v>129</v>
      </c>
      <c r="E23" s="6" t="s">
        <v>24</v>
      </c>
      <c r="F23" s="7">
        <v>43349</v>
      </c>
      <c r="G23" s="7">
        <v>45081</v>
      </c>
      <c r="H23" s="8">
        <v>1802</v>
      </c>
      <c r="I23" s="6" t="s">
        <v>110</v>
      </c>
      <c r="J23" s="8">
        <v>5</v>
      </c>
      <c r="K23" s="6" t="s">
        <v>35</v>
      </c>
      <c r="L23" s="8"/>
      <c r="N23" s="19" t="s">
        <v>42</v>
      </c>
      <c r="O23" s="1">
        <v>1068.25</v>
      </c>
    </row>
    <row r="24" spans="1:15" hidden="1" x14ac:dyDescent="0.3">
      <c r="A24" s="5" t="s">
        <v>252</v>
      </c>
      <c r="B24" s="6" t="s">
        <v>61</v>
      </c>
      <c r="C24" s="6" t="s">
        <v>66</v>
      </c>
      <c r="D24" s="6" t="s">
        <v>253</v>
      </c>
      <c r="E24" s="6" t="s">
        <v>34</v>
      </c>
      <c r="F24" s="7">
        <v>43349</v>
      </c>
      <c r="G24" s="7"/>
      <c r="H24" s="8">
        <v>1009</v>
      </c>
      <c r="I24" s="6" t="s">
        <v>164</v>
      </c>
      <c r="J24" s="8">
        <v>2</v>
      </c>
      <c r="K24" s="6" t="s">
        <v>18</v>
      </c>
      <c r="L24" s="8"/>
      <c r="N24" s="19" t="s">
        <v>99</v>
      </c>
      <c r="O24" s="1">
        <v>1065.4117647058824</v>
      </c>
    </row>
    <row r="25" spans="1:15" x14ac:dyDescent="0.3">
      <c r="A25" s="10" t="s">
        <v>86</v>
      </c>
      <c r="B25" s="11" t="s">
        <v>27</v>
      </c>
      <c r="C25" s="11" t="s">
        <v>87</v>
      </c>
      <c r="D25" s="11" t="str">
        <f>_xlfn.CONCAT("employees.",  RIGHT('Average salary'!$A25, 4), "@jogate.com")</f>
        <v>employees.1024@jogate.com</v>
      </c>
      <c r="E25" s="11" t="s">
        <v>24</v>
      </c>
      <c r="F25" s="12">
        <v>43353</v>
      </c>
      <c r="G25" s="12"/>
      <c r="H25" s="13">
        <v>761</v>
      </c>
      <c r="I25" s="11" t="s">
        <v>88</v>
      </c>
      <c r="J25" s="13">
        <v>4</v>
      </c>
      <c r="K25" s="11" t="s">
        <v>18</v>
      </c>
      <c r="L25" s="13"/>
      <c r="N25" s="19" t="s">
        <v>13</v>
      </c>
      <c r="O25" s="1">
        <v>1062.1052631578948</v>
      </c>
    </row>
    <row r="26" spans="1:15" x14ac:dyDescent="0.3">
      <c r="A26" s="5" t="s">
        <v>303</v>
      </c>
      <c r="B26" s="6" t="s">
        <v>42</v>
      </c>
      <c r="C26" s="6" t="s">
        <v>83</v>
      </c>
      <c r="D26" s="6" t="s">
        <v>304</v>
      </c>
      <c r="E26" s="6" t="s">
        <v>16</v>
      </c>
      <c r="F26" s="7">
        <v>43404</v>
      </c>
      <c r="G26" s="7"/>
      <c r="H26" s="8">
        <v>994</v>
      </c>
      <c r="I26" s="6" t="s">
        <v>39</v>
      </c>
      <c r="J26" s="8">
        <v>5</v>
      </c>
      <c r="K26" s="6" t="s">
        <v>18</v>
      </c>
      <c r="L26" s="8"/>
      <c r="N26" s="19" t="s">
        <v>405</v>
      </c>
      <c r="O26" s="1">
        <v>1201.8150000000001</v>
      </c>
    </row>
    <row r="27" spans="1:15" hidden="1" x14ac:dyDescent="0.3">
      <c r="A27" s="10" t="s">
        <v>219</v>
      </c>
      <c r="B27" s="11" t="s">
        <v>45</v>
      </c>
      <c r="C27" s="11" t="s">
        <v>58</v>
      </c>
      <c r="D27" s="11" t="s">
        <v>220</v>
      </c>
      <c r="E27" s="11" t="s">
        <v>34</v>
      </c>
      <c r="F27" s="12">
        <v>43414</v>
      </c>
      <c r="G27" s="12"/>
      <c r="H27" s="13">
        <v>466</v>
      </c>
      <c r="I27" s="11" t="s">
        <v>164</v>
      </c>
      <c r="J27" s="13">
        <v>5</v>
      </c>
      <c r="K27" s="11" t="s">
        <v>18</v>
      </c>
      <c r="L27" s="13"/>
    </row>
    <row r="28" spans="1:15" x14ac:dyDescent="0.3">
      <c r="A28" s="10" t="s">
        <v>77</v>
      </c>
      <c r="B28" s="11" t="s">
        <v>61</v>
      </c>
      <c r="C28" s="11" t="s">
        <v>78</v>
      </c>
      <c r="D28" s="11" t="str">
        <f>_xlfn.CONCAT("employees.",  RIGHT('Average salary'!$A21, 4), "@jogate.com")</f>
        <v>employees.1073@jogate.com</v>
      </c>
      <c r="E28" s="11" t="s">
        <v>16</v>
      </c>
      <c r="F28" s="12">
        <v>43455</v>
      </c>
      <c r="G28" s="12">
        <v>44930</v>
      </c>
      <c r="H28" s="13">
        <v>1814</v>
      </c>
      <c r="I28" s="11" t="s">
        <v>79</v>
      </c>
      <c r="J28" s="13">
        <v>2</v>
      </c>
      <c r="K28" s="11" t="s">
        <v>35</v>
      </c>
      <c r="L28" s="13"/>
    </row>
    <row r="29" spans="1:15" hidden="1" x14ac:dyDescent="0.3">
      <c r="A29" s="5" t="s">
        <v>102</v>
      </c>
      <c r="B29" s="6" t="s">
        <v>61</v>
      </c>
      <c r="C29" s="6" t="s">
        <v>62</v>
      </c>
      <c r="D29" s="6" t="s">
        <v>103</v>
      </c>
      <c r="E29" s="6" t="s">
        <v>34</v>
      </c>
      <c r="F29" s="7">
        <v>43456</v>
      </c>
      <c r="G29" s="7"/>
      <c r="H29" s="8">
        <v>454</v>
      </c>
      <c r="I29" s="6" t="s">
        <v>104</v>
      </c>
      <c r="J29" s="8">
        <v>4</v>
      </c>
      <c r="K29" s="6" t="s">
        <v>18</v>
      </c>
      <c r="L29" s="8"/>
    </row>
    <row r="30" spans="1:15" x14ac:dyDescent="0.3">
      <c r="A30" s="10" t="s">
        <v>91</v>
      </c>
      <c r="B30" s="11" t="s">
        <v>99</v>
      </c>
      <c r="C30" s="11" t="s">
        <v>100</v>
      </c>
      <c r="D30" s="11" t="s">
        <v>288</v>
      </c>
      <c r="E30" s="11" t="s">
        <v>24</v>
      </c>
      <c r="F30" s="12">
        <v>43472</v>
      </c>
      <c r="G30" s="12"/>
      <c r="H30" s="13">
        <v>1933</v>
      </c>
      <c r="I30" s="11"/>
      <c r="J30" s="13">
        <v>4</v>
      </c>
      <c r="K30" s="11" t="s">
        <v>18</v>
      </c>
      <c r="L30" s="13"/>
    </row>
    <row r="31" spans="1:15" hidden="1" x14ac:dyDescent="0.3">
      <c r="A31" s="10" t="s">
        <v>316</v>
      </c>
      <c r="B31" s="11" t="s">
        <v>13</v>
      </c>
      <c r="C31" s="11" t="s">
        <v>160</v>
      </c>
      <c r="D31" s="11" t="s">
        <v>317</v>
      </c>
      <c r="E31" s="11" t="s">
        <v>34</v>
      </c>
      <c r="F31" s="12">
        <v>43474</v>
      </c>
      <c r="G31" s="12"/>
      <c r="H31" s="13">
        <v>946</v>
      </c>
      <c r="I31" s="11" t="s">
        <v>145</v>
      </c>
      <c r="J31" s="13">
        <v>4</v>
      </c>
      <c r="K31" s="11" t="s">
        <v>18</v>
      </c>
      <c r="L31" s="13"/>
    </row>
    <row r="32" spans="1:15" hidden="1" x14ac:dyDescent="0.3">
      <c r="A32" s="10" t="s">
        <v>162</v>
      </c>
      <c r="B32" s="11" t="s">
        <v>27</v>
      </c>
      <c r="C32" s="11" t="s">
        <v>87</v>
      </c>
      <c r="D32" s="11" t="str">
        <f>_xlfn.CONCAT("employees.",  RIGHT('Average salary'!$A59, 4), "@jogate.com")</f>
        <v>employees.1028@jogate.com</v>
      </c>
      <c r="E32" s="11" t="s">
        <v>34</v>
      </c>
      <c r="F32" s="12">
        <v>43504</v>
      </c>
      <c r="G32" s="12"/>
      <c r="H32" s="13">
        <v>2088</v>
      </c>
      <c r="I32" s="11" t="s">
        <v>130</v>
      </c>
      <c r="J32" s="13">
        <v>4</v>
      </c>
      <c r="K32" s="11" t="s">
        <v>18</v>
      </c>
      <c r="L32" s="13"/>
    </row>
    <row r="33" spans="1:12" hidden="1" x14ac:dyDescent="0.3">
      <c r="A33" s="10" t="s">
        <v>141</v>
      </c>
      <c r="B33" s="11" t="s">
        <v>13</v>
      </c>
      <c r="C33" s="11" t="s">
        <v>14</v>
      </c>
      <c r="D33" s="11" t="s">
        <v>142</v>
      </c>
      <c r="E33" s="11" t="s">
        <v>34</v>
      </c>
      <c r="F33" s="12">
        <v>43519</v>
      </c>
      <c r="G33" s="12"/>
      <c r="H33" s="13">
        <v>1258</v>
      </c>
      <c r="I33" s="11" t="s">
        <v>98</v>
      </c>
      <c r="J33" s="13">
        <v>5</v>
      </c>
      <c r="K33" s="11" t="s">
        <v>18</v>
      </c>
      <c r="L33" s="13"/>
    </row>
    <row r="34" spans="1:12" x14ac:dyDescent="0.3">
      <c r="A34" s="10" t="s">
        <v>98</v>
      </c>
      <c r="B34" s="11" t="s">
        <v>99</v>
      </c>
      <c r="C34" s="11" t="s">
        <v>100</v>
      </c>
      <c r="D34" s="11" t="s">
        <v>101</v>
      </c>
      <c r="E34" s="11" t="s">
        <v>16</v>
      </c>
      <c r="F34" s="12">
        <v>43530</v>
      </c>
      <c r="G34" s="12"/>
      <c r="H34" s="13">
        <v>953</v>
      </c>
      <c r="I34" s="11"/>
      <c r="J34" s="13">
        <v>5</v>
      </c>
      <c r="K34" s="11" t="s">
        <v>18</v>
      </c>
      <c r="L34" s="13"/>
    </row>
    <row r="35" spans="1:12" hidden="1" x14ac:dyDescent="0.3">
      <c r="A35" s="10" t="s">
        <v>157</v>
      </c>
      <c r="B35" s="11" t="s">
        <v>50</v>
      </c>
      <c r="C35" s="11" t="s">
        <v>51</v>
      </c>
      <c r="D35" s="11" t="str">
        <f>_xlfn.CONCAT("employees.",  RIGHT('Average salary'!$A55, 4), "@jogate.com")</f>
        <v>employees.1066@jogate.com</v>
      </c>
      <c r="E35" s="11" t="s">
        <v>34</v>
      </c>
      <c r="F35" s="12">
        <v>43531</v>
      </c>
      <c r="G35" s="12"/>
      <c r="H35" s="13">
        <v>1632</v>
      </c>
      <c r="I35" s="11" t="s">
        <v>81</v>
      </c>
      <c r="J35" s="13">
        <v>3</v>
      </c>
      <c r="K35" s="11" t="s">
        <v>18</v>
      </c>
      <c r="L35" s="13"/>
    </row>
    <row r="36" spans="1:12" x14ac:dyDescent="0.3">
      <c r="A36" s="5" t="s">
        <v>221</v>
      </c>
      <c r="B36" s="6" t="s">
        <v>21</v>
      </c>
      <c r="C36" s="6" t="s">
        <v>22</v>
      </c>
      <c r="D36" s="6" t="s">
        <v>222</v>
      </c>
      <c r="E36" s="6" t="s">
        <v>16</v>
      </c>
      <c r="F36" s="7">
        <v>43534</v>
      </c>
      <c r="G36" s="7">
        <v>44606</v>
      </c>
      <c r="H36" s="8">
        <v>1750</v>
      </c>
      <c r="I36" s="6" t="s">
        <v>81</v>
      </c>
      <c r="J36" s="8">
        <v>4</v>
      </c>
      <c r="K36" s="6" t="s">
        <v>35</v>
      </c>
      <c r="L36" s="8"/>
    </row>
    <row r="37" spans="1:12" x14ac:dyDescent="0.3">
      <c r="A37" s="10" t="s">
        <v>285</v>
      </c>
      <c r="B37" s="11" t="s">
        <v>50</v>
      </c>
      <c r="C37" s="11" t="s">
        <v>70</v>
      </c>
      <c r="D37" s="11" t="s">
        <v>286</v>
      </c>
      <c r="E37" s="11" t="s">
        <v>16</v>
      </c>
      <c r="F37" s="12">
        <v>43545</v>
      </c>
      <c r="G37" s="12"/>
      <c r="H37" s="13">
        <v>1986</v>
      </c>
      <c r="I37" s="11" t="s">
        <v>210</v>
      </c>
      <c r="J37" s="13">
        <v>5</v>
      </c>
      <c r="K37" s="11" t="s">
        <v>18</v>
      </c>
      <c r="L37" s="13"/>
    </row>
    <row r="38" spans="1:12" x14ac:dyDescent="0.3">
      <c r="A38" s="5" t="s">
        <v>307</v>
      </c>
      <c r="B38" s="6" t="s">
        <v>31</v>
      </c>
      <c r="C38" s="6" t="s">
        <v>74</v>
      </c>
      <c r="D38" s="6" t="s">
        <v>308</v>
      </c>
      <c r="E38" s="6" t="s">
        <v>16</v>
      </c>
      <c r="F38" s="7">
        <v>43553</v>
      </c>
      <c r="G38" s="7"/>
      <c r="H38" s="8">
        <v>1250</v>
      </c>
      <c r="I38" s="6" t="s">
        <v>64</v>
      </c>
      <c r="J38" s="8">
        <v>2</v>
      </c>
      <c r="K38" s="6" t="s">
        <v>18</v>
      </c>
      <c r="L38" s="8"/>
    </row>
    <row r="39" spans="1:12" x14ac:dyDescent="0.3">
      <c r="A39" s="5" t="s">
        <v>128</v>
      </c>
      <c r="B39" s="6" t="s">
        <v>45</v>
      </c>
      <c r="C39" s="6" t="s">
        <v>97</v>
      </c>
      <c r="D39" s="6" t="s">
        <v>231</v>
      </c>
      <c r="E39" s="6" t="s">
        <v>16</v>
      </c>
      <c r="F39" s="7">
        <v>43560</v>
      </c>
      <c r="G39" s="7"/>
      <c r="H39" s="8">
        <v>1039</v>
      </c>
      <c r="I39" s="6"/>
      <c r="J39" s="8">
        <v>3</v>
      </c>
      <c r="K39" s="6" t="s">
        <v>18</v>
      </c>
      <c r="L39" s="8"/>
    </row>
    <row r="40" spans="1:12" hidden="1" x14ac:dyDescent="0.3">
      <c r="A40" s="10" t="s">
        <v>84</v>
      </c>
      <c r="B40" s="11" t="s">
        <v>45</v>
      </c>
      <c r="C40" s="11" t="s">
        <v>97</v>
      </c>
      <c r="D40" s="11" t="s">
        <v>295</v>
      </c>
      <c r="E40" s="11" t="s">
        <v>34</v>
      </c>
      <c r="F40" s="12">
        <v>43560</v>
      </c>
      <c r="G40" s="12"/>
      <c r="H40" s="13">
        <v>448</v>
      </c>
      <c r="I40" s="11"/>
      <c r="J40" s="13">
        <v>4</v>
      </c>
      <c r="K40" s="11" t="s">
        <v>18</v>
      </c>
      <c r="L40" s="13"/>
    </row>
    <row r="41" spans="1:12" x14ac:dyDescent="0.3">
      <c r="A41" s="10" t="s">
        <v>250</v>
      </c>
      <c r="B41" s="11" t="s">
        <v>61</v>
      </c>
      <c r="C41" s="11" t="s">
        <v>78</v>
      </c>
      <c r="D41" s="11" t="s">
        <v>251</v>
      </c>
      <c r="E41" s="11" t="s">
        <v>16</v>
      </c>
      <c r="F41" s="12">
        <v>43566</v>
      </c>
      <c r="G41" s="12"/>
      <c r="H41" s="13">
        <v>463</v>
      </c>
      <c r="I41" s="11" t="s">
        <v>37</v>
      </c>
      <c r="J41" s="13">
        <v>3</v>
      </c>
      <c r="K41" s="11" t="s">
        <v>18</v>
      </c>
      <c r="L41" s="13"/>
    </row>
    <row r="42" spans="1:12" hidden="1" x14ac:dyDescent="0.3">
      <c r="A42" s="10" t="s">
        <v>291</v>
      </c>
      <c r="B42" s="11" t="s">
        <v>31</v>
      </c>
      <c r="C42" s="11" t="s">
        <v>74</v>
      </c>
      <c r="D42" s="11" t="s">
        <v>292</v>
      </c>
      <c r="E42" s="11" t="s">
        <v>34</v>
      </c>
      <c r="F42" s="12">
        <v>43579</v>
      </c>
      <c r="G42" s="12"/>
      <c r="H42" s="13">
        <v>802</v>
      </c>
      <c r="I42" s="11" t="s">
        <v>121</v>
      </c>
      <c r="J42" s="13">
        <v>2</v>
      </c>
      <c r="K42" s="11" t="s">
        <v>18</v>
      </c>
      <c r="L42" s="13"/>
    </row>
    <row r="43" spans="1:12" x14ac:dyDescent="0.3">
      <c r="A43" s="10" t="s">
        <v>376</v>
      </c>
      <c r="B43" s="11" t="s">
        <v>45</v>
      </c>
      <c r="C43" s="11" t="s">
        <v>46</v>
      </c>
      <c r="D43" s="11" t="s">
        <v>377</v>
      </c>
      <c r="E43" s="11" t="s">
        <v>24</v>
      </c>
      <c r="F43" s="12">
        <v>43594</v>
      </c>
      <c r="G43" s="12"/>
      <c r="H43" s="13">
        <v>1461</v>
      </c>
      <c r="I43" s="11" t="s">
        <v>41</v>
      </c>
      <c r="J43" s="13">
        <v>3</v>
      </c>
      <c r="K43" s="11" t="s">
        <v>18</v>
      </c>
      <c r="L43" s="13"/>
    </row>
    <row r="44" spans="1:12" x14ac:dyDescent="0.3">
      <c r="A44" s="5" t="s">
        <v>348</v>
      </c>
      <c r="B44" s="6" t="s">
        <v>50</v>
      </c>
      <c r="C44" s="6" t="s">
        <v>51</v>
      </c>
      <c r="D44" s="6" t="s">
        <v>349</v>
      </c>
      <c r="E44" s="6" t="s">
        <v>16</v>
      </c>
      <c r="F44" s="7">
        <v>43601</v>
      </c>
      <c r="G44" s="7"/>
      <c r="H44" s="8">
        <v>1953</v>
      </c>
      <c r="I44" s="6" t="s">
        <v>53</v>
      </c>
      <c r="J44" s="8">
        <v>3</v>
      </c>
      <c r="K44" s="6" t="s">
        <v>18</v>
      </c>
      <c r="L44" s="8"/>
    </row>
    <row r="45" spans="1:12" x14ac:dyDescent="0.3">
      <c r="A45" s="10" t="s">
        <v>117</v>
      </c>
      <c r="B45" s="11" t="s">
        <v>31</v>
      </c>
      <c r="C45" s="11" t="s">
        <v>32</v>
      </c>
      <c r="D45" s="11" t="str">
        <f>_xlfn.CONCAT("employees.",  RIGHT('Average salary'!$A39, 4), "@jogate.com")</f>
        <v>employees.1099@jogate.com</v>
      </c>
      <c r="E45" s="11" t="s">
        <v>24</v>
      </c>
      <c r="F45" s="12">
        <v>43620</v>
      </c>
      <c r="G45" s="12"/>
      <c r="H45" s="13">
        <v>1755</v>
      </c>
      <c r="I45" s="11"/>
      <c r="J45" s="13">
        <v>5</v>
      </c>
      <c r="K45" s="11" t="s">
        <v>18</v>
      </c>
      <c r="L45" s="13"/>
    </row>
    <row r="46" spans="1:12" hidden="1" x14ac:dyDescent="0.3">
      <c r="A46" s="5" t="s">
        <v>234</v>
      </c>
      <c r="B46" s="6" t="s">
        <v>99</v>
      </c>
      <c r="C46" s="6" t="s">
        <v>138</v>
      </c>
      <c r="D46" s="6" t="str">
        <f>_xlfn.CONCAT("employees.",  RIGHT('Average salary'!$A102, 4), "@jogate.com")</f>
        <v>employees.1074@jogate.com</v>
      </c>
      <c r="E46" s="6" t="s">
        <v>34</v>
      </c>
      <c r="F46" s="7">
        <v>43633</v>
      </c>
      <c r="G46" s="7"/>
      <c r="H46" s="8">
        <v>348</v>
      </c>
      <c r="I46" s="6" t="s">
        <v>104</v>
      </c>
      <c r="J46" s="8">
        <v>3</v>
      </c>
      <c r="K46" s="6" t="s">
        <v>18</v>
      </c>
      <c r="L46" s="8"/>
    </row>
    <row r="47" spans="1:12" hidden="1" x14ac:dyDescent="0.3">
      <c r="A47" s="10" t="s">
        <v>270</v>
      </c>
      <c r="B47" s="11" t="s">
        <v>99</v>
      </c>
      <c r="C47" s="11" t="s">
        <v>125</v>
      </c>
      <c r="D47" s="11" t="s">
        <v>271</v>
      </c>
      <c r="E47" s="11" t="s">
        <v>34</v>
      </c>
      <c r="F47" s="12">
        <v>43663</v>
      </c>
      <c r="G47" s="12"/>
      <c r="H47" s="13">
        <v>779</v>
      </c>
      <c r="I47" s="11" t="s">
        <v>56</v>
      </c>
      <c r="J47" s="13">
        <v>2</v>
      </c>
      <c r="K47" s="11" t="s">
        <v>18</v>
      </c>
      <c r="L47" s="13"/>
    </row>
    <row r="48" spans="1:12" x14ac:dyDescent="0.3">
      <c r="A48" s="5" t="s">
        <v>245</v>
      </c>
      <c r="B48" s="6" t="s">
        <v>45</v>
      </c>
      <c r="C48" s="6" t="s">
        <v>58</v>
      </c>
      <c r="D48" s="6" t="str">
        <f>_xlfn.CONCAT("employees.",  RIGHT('Average salary'!$A114, 4), "@jogate.com")</f>
        <v>employees.1168@jogate.com</v>
      </c>
      <c r="E48" s="6" t="s">
        <v>16</v>
      </c>
      <c r="F48" s="7">
        <v>43664</v>
      </c>
      <c r="G48" s="7"/>
      <c r="H48" s="8">
        <v>620</v>
      </c>
      <c r="I48" s="6" t="s">
        <v>140</v>
      </c>
      <c r="J48" s="8">
        <v>5</v>
      </c>
      <c r="K48" s="6" t="s">
        <v>18</v>
      </c>
      <c r="L48" s="8"/>
    </row>
    <row r="49" spans="1:12" x14ac:dyDescent="0.3">
      <c r="A49" s="5" t="s">
        <v>344</v>
      </c>
      <c r="B49" s="6" t="s">
        <v>21</v>
      </c>
      <c r="C49" s="6" t="s">
        <v>133</v>
      </c>
      <c r="D49" s="6" t="s">
        <v>345</v>
      </c>
      <c r="E49" s="6" t="s">
        <v>16</v>
      </c>
      <c r="F49" s="7">
        <v>43667</v>
      </c>
      <c r="G49" s="7"/>
      <c r="H49" s="8">
        <v>1900</v>
      </c>
      <c r="I49" s="6" t="s">
        <v>151</v>
      </c>
      <c r="J49" s="8">
        <v>5</v>
      </c>
      <c r="K49" s="6" t="s">
        <v>18</v>
      </c>
      <c r="L49" s="8"/>
    </row>
    <row r="50" spans="1:12" hidden="1" x14ac:dyDescent="0.3">
      <c r="A50" s="10" t="s">
        <v>342</v>
      </c>
      <c r="B50" s="11" t="s">
        <v>42</v>
      </c>
      <c r="C50" s="11" t="s">
        <v>83</v>
      </c>
      <c r="D50" s="11" t="s">
        <v>343</v>
      </c>
      <c r="E50" s="11" t="s">
        <v>34</v>
      </c>
      <c r="F50" s="12">
        <v>43734</v>
      </c>
      <c r="G50" s="12"/>
      <c r="H50" s="13">
        <v>2049</v>
      </c>
      <c r="I50" s="11" t="s">
        <v>171</v>
      </c>
      <c r="J50" s="13">
        <v>5</v>
      </c>
      <c r="K50" s="11" t="s">
        <v>18</v>
      </c>
      <c r="L50" s="13"/>
    </row>
    <row r="51" spans="1:12" x14ac:dyDescent="0.3">
      <c r="A51" s="5" t="s">
        <v>171</v>
      </c>
      <c r="B51" s="6" t="s">
        <v>31</v>
      </c>
      <c r="C51" s="6" t="s">
        <v>32</v>
      </c>
      <c r="D51" s="6" t="s">
        <v>355</v>
      </c>
      <c r="E51" s="6" t="s">
        <v>24</v>
      </c>
      <c r="F51" s="7">
        <v>43744</v>
      </c>
      <c r="G51" s="7"/>
      <c r="H51" s="8">
        <v>1885</v>
      </c>
      <c r="I51" s="6"/>
      <c r="J51" s="8">
        <v>4</v>
      </c>
      <c r="K51" s="6" t="s">
        <v>18</v>
      </c>
      <c r="L51" s="8"/>
    </row>
    <row r="52" spans="1:12" hidden="1" x14ac:dyDescent="0.3">
      <c r="A52" s="5" t="s">
        <v>289</v>
      </c>
      <c r="B52" s="6" t="s">
        <v>99</v>
      </c>
      <c r="C52" s="6" t="s">
        <v>138</v>
      </c>
      <c r="D52" s="6" t="s">
        <v>290</v>
      </c>
      <c r="E52" s="6" t="s">
        <v>34</v>
      </c>
      <c r="F52" s="7">
        <v>43754</v>
      </c>
      <c r="G52" s="7">
        <v>45258</v>
      </c>
      <c r="H52" s="8">
        <v>1769</v>
      </c>
      <c r="I52" s="6" t="s">
        <v>150</v>
      </c>
      <c r="J52" s="8">
        <v>5</v>
      </c>
      <c r="K52" s="6" t="s">
        <v>35</v>
      </c>
      <c r="L52" s="8"/>
    </row>
    <row r="53" spans="1:12" hidden="1" x14ac:dyDescent="0.3">
      <c r="A53" s="5" t="s">
        <v>118</v>
      </c>
      <c r="B53" s="6" t="s">
        <v>61</v>
      </c>
      <c r="C53" s="6" t="s">
        <v>62</v>
      </c>
      <c r="D53" s="6" t="s">
        <v>119</v>
      </c>
      <c r="E53" s="6" t="s">
        <v>34</v>
      </c>
      <c r="F53" s="7">
        <v>43779</v>
      </c>
      <c r="G53" s="7"/>
      <c r="H53" s="8">
        <v>1859</v>
      </c>
      <c r="I53" s="6" t="s">
        <v>120</v>
      </c>
      <c r="J53" s="8">
        <v>3</v>
      </c>
      <c r="K53" s="6" t="s">
        <v>18</v>
      </c>
      <c r="L53" s="8"/>
    </row>
    <row r="54" spans="1:12" hidden="1" x14ac:dyDescent="0.3">
      <c r="A54" s="5" t="s">
        <v>399</v>
      </c>
      <c r="B54" s="6" t="s">
        <v>50</v>
      </c>
      <c r="C54" s="6" t="s">
        <v>51</v>
      </c>
      <c r="D54" s="6" t="s">
        <v>400</v>
      </c>
      <c r="E54" s="6" t="s">
        <v>34</v>
      </c>
      <c r="F54" s="7">
        <v>43787</v>
      </c>
      <c r="G54" s="7"/>
      <c r="H54" s="8">
        <v>1163</v>
      </c>
      <c r="I54" s="6" t="s">
        <v>84</v>
      </c>
      <c r="J54" s="8">
        <v>2</v>
      </c>
      <c r="K54" s="6" t="s">
        <v>18</v>
      </c>
      <c r="L54" s="8"/>
    </row>
    <row r="55" spans="1:12" hidden="1" x14ac:dyDescent="0.3">
      <c r="A55" s="10" t="s">
        <v>175</v>
      </c>
      <c r="B55" s="11" t="s">
        <v>61</v>
      </c>
      <c r="C55" s="11" t="s">
        <v>78</v>
      </c>
      <c r="D55" s="11" t="s">
        <v>176</v>
      </c>
      <c r="E55" s="11" t="s">
        <v>34</v>
      </c>
      <c r="F55" s="12">
        <v>43817</v>
      </c>
      <c r="G55" s="12">
        <v>44765</v>
      </c>
      <c r="H55" s="13">
        <v>1573</v>
      </c>
      <c r="I55" s="11" t="s">
        <v>141</v>
      </c>
      <c r="J55" s="13">
        <v>3</v>
      </c>
      <c r="K55" s="11" t="s">
        <v>35</v>
      </c>
      <c r="L55" s="13"/>
    </row>
    <row r="56" spans="1:12" x14ac:dyDescent="0.3">
      <c r="A56" s="10" t="s">
        <v>120</v>
      </c>
      <c r="B56" s="11" t="s">
        <v>45</v>
      </c>
      <c r="C56" s="11" t="s">
        <v>97</v>
      </c>
      <c r="D56" s="11" t="s">
        <v>213</v>
      </c>
      <c r="E56" s="11" t="s">
        <v>24</v>
      </c>
      <c r="F56" s="12">
        <v>43833</v>
      </c>
      <c r="G56" s="12">
        <v>44836</v>
      </c>
      <c r="H56" s="13">
        <v>425</v>
      </c>
      <c r="I56" s="11"/>
      <c r="J56" s="13">
        <v>4</v>
      </c>
      <c r="K56" s="11" t="s">
        <v>35</v>
      </c>
      <c r="L56" s="13"/>
    </row>
    <row r="57" spans="1:12" hidden="1" x14ac:dyDescent="0.3">
      <c r="A57" s="10" t="s">
        <v>328</v>
      </c>
      <c r="B57" s="11" t="s">
        <v>27</v>
      </c>
      <c r="C57" s="11" t="s">
        <v>90</v>
      </c>
      <c r="D57" s="11" t="s">
        <v>329</v>
      </c>
      <c r="E57" s="11" t="s">
        <v>34</v>
      </c>
      <c r="F57" s="12">
        <v>43839</v>
      </c>
      <c r="G57" s="12"/>
      <c r="H57" s="13">
        <v>544</v>
      </c>
      <c r="I57" s="11" t="s">
        <v>236</v>
      </c>
      <c r="J57" s="13">
        <v>4</v>
      </c>
      <c r="K57" s="11" t="s">
        <v>18</v>
      </c>
      <c r="L57" s="13"/>
    </row>
    <row r="58" spans="1:12" hidden="1" x14ac:dyDescent="0.3">
      <c r="A58" s="10" t="s">
        <v>107</v>
      </c>
      <c r="B58" s="11" t="s">
        <v>31</v>
      </c>
      <c r="C58" s="11" t="s">
        <v>32</v>
      </c>
      <c r="D58" s="11" t="s">
        <v>362</v>
      </c>
      <c r="E58" s="11" t="s">
        <v>34</v>
      </c>
      <c r="F58" s="12">
        <v>43841</v>
      </c>
      <c r="G58" s="12"/>
      <c r="H58" s="13">
        <v>1476</v>
      </c>
      <c r="I58" s="11"/>
      <c r="J58" s="13">
        <v>4</v>
      </c>
      <c r="K58" s="11" t="s">
        <v>18</v>
      </c>
      <c r="L58" s="13"/>
    </row>
    <row r="59" spans="1:12" x14ac:dyDescent="0.3">
      <c r="A59" s="10" t="s">
        <v>95</v>
      </c>
      <c r="B59" s="11" t="s">
        <v>50</v>
      </c>
      <c r="C59" s="11" t="s">
        <v>70</v>
      </c>
      <c r="D59" s="11" t="str">
        <f>_xlfn.CONCAT("employees.",  RIGHT('Average salary'!$A29, 4), "@jogate.com")</f>
        <v>employees.1031@jogate.com</v>
      </c>
      <c r="E59" s="11" t="s">
        <v>16</v>
      </c>
      <c r="F59" s="12">
        <v>43890</v>
      </c>
      <c r="G59" s="12"/>
      <c r="H59" s="13">
        <v>637</v>
      </c>
      <c r="I59" s="11" t="s">
        <v>96</v>
      </c>
      <c r="J59" s="13">
        <v>2</v>
      </c>
      <c r="K59" s="11" t="s">
        <v>18</v>
      </c>
      <c r="L59" s="13"/>
    </row>
    <row r="60" spans="1:12" hidden="1" x14ac:dyDescent="0.3">
      <c r="A60" s="10" t="s">
        <v>244</v>
      </c>
      <c r="B60" s="11" t="s">
        <v>45</v>
      </c>
      <c r="C60" s="11" t="s">
        <v>46</v>
      </c>
      <c r="D60" s="11" t="str">
        <f>_xlfn.CONCAT("employees.",  RIGHT('Average salary'!$A113, 4), "@jogate.com")</f>
        <v>employees.1003@jogate.com</v>
      </c>
      <c r="E60" s="11" t="s">
        <v>34</v>
      </c>
      <c r="F60" s="12">
        <v>43895</v>
      </c>
      <c r="G60" s="12"/>
      <c r="H60" s="13">
        <v>923</v>
      </c>
      <c r="I60" s="11" t="s">
        <v>91</v>
      </c>
      <c r="J60" s="13">
        <v>3</v>
      </c>
      <c r="K60" s="11" t="s">
        <v>18</v>
      </c>
      <c r="L60" s="13"/>
    </row>
    <row r="61" spans="1:12" hidden="1" x14ac:dyDescent="0.3">
      <c r="A61" s="5" t="s">
        <v>214</v>
      </c>
      <c r="B61" s="6" t="s">
        <v>50</v>
      </c>
      <c r="C61" s="6" t="s">
        <v>51</v>
      </c>
      <c r="D61" s="6" t="s">
        <v>215</v>
      </c>
      <c r="E61" s="6" t="s">
        <v>34</v>
      </c>
      <c r="F61" s="7">
        <v>43899</v>
      </c>
      <c r="G61" s="7">
        <v>44681</v>
      </c>
      <c r="H61" s="8">
        <v>1591</v>
      </c>
      <c r="I61" s="6" t="s">
        <v>68</v>
      </c>
      <c r="J61" s="8">
        <v>5</v>
      </c>
      <c r="K61" s="6" t="s">
        <v>35</v>
      </c>
      <c r="L61" s="8"/>
    </row>
    <row r="62" spans="1:12" x14ac:dyDescent="0.3">
      <c r="A62" s="5" t="s">
        <v>73</v>
      </c>
      <c r="B62" s="6" t="s">
        <v>31</v>
      </c>
      <c r="C62" s="6" t="s">
        <v>74</v>
      </c>
      <c r="D62" s="6" t="str">
        <f>_xlfn.CONCAT("employees.",  RIGHT('Average salary'!$A18, 4), "@jogate.com")</f>
        <v>employees.1123@jogate.com</v>
      </c>
      <c r="E62" s="6" t="s">
        <v>16</v>
      </c>
      <c r="F62" s="7">
        <v>43911</v>
      </c>
      <c r="G62" s="7"/>
      <c r="H62" s="8">
        <v>2045</v>
      </c>
      <c r="I62" s="6" t="s">
        <v>41</v>
      </c>
      <c r="J62" s="8">
        <v>4</v>
      </c>
      <c r="K62" s="6" t="s">
        <v>18</v>
      </c>
      <c r="L62" s="8"/>
    </row>
    <row r="63" spans="1:12" hidden="1" x14ac:dyDescent="0.3">
      <c r="A63" s="10" t="s">
        <v>135</v>
      </c>
      <c r="B63" s="11" t="s">
        <v>21</v>
      </c>
      <c r="C63" s="11" t="s">
        <v>22</v>
      </c>
      <c r="D63" s="11" t="s">
        <v>136</v>
      </c>
      <c r="E63" s="11" t="s">
        <v>34</v>
      </c>
      <c r="F63" s="12">
        <v>43925</v>
      </c>
      <c r="G63" s="12"/>
      <c r="H63" s="13">
        <v>530</v>
      </c>
      <c r="I63" s="11" t="s">
        <v>37</v>
      </c>
      <c r="J63" s="13">
        <v>5</v>
      </c>
      <c r="K63" s="11" t="s">
        <v>18</v>
      </c>
      <c r="L63" s="13"/>
    </row>
    <row r="64" spans="1:12" x14ac:dyDescent="0.3">
      <c r="A64" s="5" t="s">
        <v>381</v>
      </c>
      <c r="B64" s="6" t="s">
        <v>45</v>
      </c>
      <c r="C64" s="6" t="s">
        <v>46</v>
      </c>
      <c r="D64" s="6" t="s">
        <v>382</v>
      </c>
      <c r="E64" s="6" t="s">
        <v>24</v>
      </c>
      <c r="F64" s="7">
        <v>43934</v>
      </c>
      <c r="G64" s="7">
        <v>44550</v>
      </c>
      <c r="H64" s="8">
        <v>1204</v>
      </c>
      <c r="I64" s="6" t="s">
        <v>98</v>
      </c>
      <c r="J64" s="8">
        <v>4</v>
      </c>
      <c r="K64" s="6" t="s">
        <v>35</v>
      </c>
      <c r="L64" s="8"/>
    </row>
    <row r="65" spans="1:12" hidden="1" x14ac:dyDescent="0.3">
      <c r="A65" s="5" t="s">
        <v>40</v>
      </c>
      <c r="B65" s="6" t="s">
        <v>27</v>
      </c>
      <c r="C65" s="6" t="s">
        <v>28</v>
      </c>
      <c r="D65" s="6" t="str">
        <f>_xlfn.CONCAT("employees.",  RIGHT('Average salary'!$A8, 4), "@jogate.com")</f>
        <v>employees.1131@jogate.com</v>
      </c>
      <c r="E65" s="6" t="s">
        <v>34</v>
      </c>
      <c r="F65" s="7">
        <v>43935</v>
      </c>
      <c r="G65" s="7"/>
      <c r="H65" s="8">
        <v>861</v>
      </c>
      <c r="I65" s="6"/>
      <c r="J65" s="8">
        <v>4</v>
      </c>
      <c r="K65" s="6" t="s">
        <v>18</v>
      </c>
      <c r="L65" s="8"/>
    </row>
    <row r="66" spans="1:12" x14ac:dyDescent="0.3">
      <c r="A66" s="10" t="s">
        <v>193</v>
      </c>
      <c r="B66" s="11" t="s">
        <v>50</v>
      </c>
      <c r="C66" s="11" t="s">
        <v>51</v>
      </c>
      <c r="D66" s="11" t="str">
        <f>_xlfn.CONCAT("employees.",  RIGHT('Average salary'!$A79, 4), "@jogate.com")</f>
        <v>employees.1193@jogate.com</v>
      </c>
      <c r="E66" s="11" t="s">
        <v>16</v>
      </c>
      <c r="F66" s="12">
        <v>43935</v>
      </c>
      <c r="G66" s="12"/>
      <c r="H66" s="13">
        <v>563</v>
      </c>
      <c r="I66" s="11" t="s">
        <v>41</v>
      </c>
      <c r="J66" s="13">
        <v>3</v>
      </c>
      <c r="K66" s="11" t="s">
        <v>18</v>
      </c>
      <c r="L66" s="13"/>
    </row>
    <row r="67" spans="1:12" hidden="1" x14ac:dyDescent="0.3">
      <c r="A67" s="10" t="s">
        <v>96</v>
      </c>
      <c r="B67" s="11" t="s">
        <v>31</v>
      </c>
      <c r="C67" s="11" t="s">
        <v>32</v>
      </c>
      <c r="D67" s="11" t="s">
        <v>200</v>
      </c>
      <c r="E67" s="11" t="s">
        <v>34</v>
      </c>
      <c r="F67" s="12">
        <v>43944</v>
      </c>
      <c r="G67" s="12"/>
      <c r="H67" s="13">
        <v>1563</v>
      </c>
      <c r="I67" s="11"/>
      <c r="J67" s="13">
        <v>3</v>
      </c>
      <c r="K67" s="11" t="s">
        <v>18</v>
      </c>
      <c r="L67" s="13"/>
    </row>
    <row r="68" spans="1:12" hidden="1" x14ac:dyDescent="0.3">
      <c r="A68" s="10" t="s">
        <v>312</v>
      </c>
      <c r="B68" s="11" t="s">
        <v>42</v>
      </c>
      <c r="C68" s="11" t="s">
        <v>43</v>
      </c>
      <c r="D68" s="11" t="s">
        <v>313</v>
      </c>
      <c r="E68" s="11" t="s">
        <v>34</v>
      </c>
      <c r="F68" s="12">
        <v>43963</v>
      </c>
      <c r="G68" s="12"/>
      <c r="H68" s="13">
        <v>1928</v>
      </c>
      <c r="I68" s="11"/>
      <c r="J68" s="13">
        <v>2</v>
      </c>
      <c r="K68" s="11" t="s">
        <v>18</v>
      </c>
      <c r="L68" s="13"/>
    </row>
    <row r="69" spans="1:12" hidden="1" x14ac:dyDescent="0.3">
      <c r="A69" s="10" t="s">
        <v>68</v>
      </c>
      <c r="B69" s="11" t="s">
        <v>13</v>
      </c>
      <c r="C69" s="11" t="s">
        <v>14</v>
      </c>
      <c r="D69" s="11" t="s">
        <v>340</v>
      </c>
      <c r="E69" s="11" t="s">
        <v>34</v>
      </c>
      <c r="F69" s="12">
        <v>43969</v>
      </c>
      <c r="G69" s="12">
        <v>45558</v>
      </c>
      <c r="H69" s="13">
        <v>697</v>
      </c>
      <c r="I69" s="11" t="s">
        <v>40</v>
      </c>
      <c r="J69" s="13">
        <v>4</v>
      </c>
      <c r="K69" s="11" t="s">
        <v>35</v>
      </c>
      <c r="L69" s="13"/>
    </row>
    <row r="70" spans="1:12" x14ac:dyDescent="0.3">
      <c r="A70" s="5" t="s">
        <v>194</v>
      </c>
      <c r="B70" s="6" t="s">
        <v>99</v>
      </c>
      <c r="C70" s="6" t="s">
        <v>125</v>
      </c>
      <c r="D70" s="6" t="s">
        <v>195</v>
      </c>
      <c r="E70" s="6" t="s">
        <v>16</v>
      </c>
      <c r="F70" s="7">
        <v>44015</v>
      </c>
      <c r="G70" s="7"/>
      <c r="H70" s="8">
        <v>541</v>
      </c>
      <c r="I70" s="6" t="s">
        <v>64</v>
      </c>
      <c r="J70" s="8">
        <v>5</v>
      </c>
      <c r="K70" s="6" t="s">
        <v>18</v>
      </c>
      <c r="L70" s="8"/>
    </row>
    <row r="71" spans="1:12" x14ac:dyDescent="0.3">
      <c r="A71" s="5" t="s">
        <v>137</v>
      </c>
      <c r="B71" s="6" t="s">
        <v>99</v>
      </c>
      <c r="C71" s="6" t="s">
        <v>138</v>
      </c>
      <c r="D71" s="6" t="s">
        <v>139</v>
      </c>
      <c r="E71" s="6" t="s">
        <v>16</v>
      </c>
      <c r="F71" s="7">
        <v>44043</v>
      </c>
      <c r="G71" s="7"/>
      <c r="H71" s="8">
        <v>1791</v>
      </c>
      <c r="I71" s="6" t="s">
        <v>140</v>
      </c>
      <c r="J71" s="8">
        <v>2</v>
      </c>
      <c r="K71" s="6" t="s">
        <v>18</v>
      </c>
      <c r="L71" s="8"/>
    </row>
    <row r="72" spans="1:12" x14ac:dyDescent="0.3">
      <c r="A72" s="5" t="s">
        <v>310</v>
      </c>
      <c r="B72" s="6" t="s">
        <v>21</v>
      </c>
      <c r="C72" s="6" t="s">
        <v>133</v>
      </c>
      <c r="D72" s="6" t="s">
        <v>311</v>
      </c>
      <c r="E72" s="6" t="s">
        <v>16</v>
      </c>
      <c r="F72" s="7">
        <v>44049</v>
      </c>
      <c r="G72" s="7"/>
      <c r="H72" s="8">
        <v>1245</v>
      </c>
      <c r="I72" s="6" t="s">
        <v>96</v>
      </c>
      <c r="J72" s="8">
        <v>4</v>
      </c>
      <c r="K72" s="6" t="s">
        <v>18</v>
      </c>
      <c r="L72" s="8"/>
    </row>
    <row r="73" spans="1:12" x14ac:dyDescent="0.3">
      <c r="A73" s="10" t="s">
        <v>336</v>
      </c>
      <c r="B73" s="11" t="s">
        <v>50</v>
      </c>
      <c r="C73" s="11" t="s">
        <v>51</v>
      </c>
      <c r="D73" s="11" t="s">
        <v>337</v>
      </c>
      <c r="E73" s="11" t="s">
        <v>16</v>
      </c>
      <c r="F73" s="12">
        <v>44075</v>
      </c>
      <c r="G73" s="12"/>
      <c r="H73" s="13">
        <v>1392</v>
      </c>
      <c r="I73" s="11" t="s">
        <v>237</v>
      </c>
      <c r="J73" s="13">
        <v>5</v>
      </c>
      <c r="K73" s="11" t="s">
        <v>18</v>
      </c>
      <c r="L73" s="13"/>
    </row>
    <row r="74" spans="1:12" x14ac:dyDescent="0.3">
      <c r="A74" s="5" t="s">
        <v>44</v>
      </c>
      <c r="B74" s="6" t="s">
        <v>45</v>
      </c>
      <c r="C74" s="6" t="s">
        <v>46</v>
      </c>
      <c r="D74" s="6" t="s">
        <v>47</v>
      </c>
      <c r="E74" s="6" t="s">
        <v>24</v>
      </c>
      <c r="F74" s="7">
        <v>44081</v>
      </c>
      <c r="G74" s="7"/>
      <c r="H74" s="8">
        <v>723</v>
      </c>
      <c r="I74" s="6" t="s">
        <v>48</v>
      </c>
      <c r="J74" s="8">
        <v>3</v>
      </c>
      <c r="K74" s="6" t="s">
        <v>18</v>
      </c>
      <c r="L74" s="8"/>
    </row>
    <row r="75" spans="1:12" hidden="1" x14ac:dyDescent="0.3">
      <c r="A75" s="10" t="s">
        <v>350</v>
      </c>
      <c r="B75" s="11" t="s">
        <v>42</v>
      </c>
      <c r="C75" s="11" t="s">
        <v>83</v>
      </c>
      <c r="D75" s="11" t="s">
        <v>351</v>
      </c>
      <c r="E75" s="11" t="s">
        <v>34</v>
      </c>
      <c r="F75" s="12">
        <v>44139</v>
      </c>
      <c r="G75" s="12"/>
      <c r="H75" s="13">
        <v>1483</v>
      </c>
      <c r="I75" s="11" t="s">
        <v>88</v>
      </c>
      <c r="J75" s="13">
        <v>4</v>
      </c>
      <c r="K75" s="11" t="s">
        <v>18</v>
      </c>
      <c r="L75" s="13"/>
    </row>
    <row r="76" spans="1:12" x14ac:dyDescent="0.3">
      <c r="A76" s="5" t="s">
        <v>210</v>
      </c>
      <c r="B76" s="6" t="s">
        <v>42</v>
      </c>
      <c r="C76" s="6" t="s">
        <v>122</v>
      </c>
      <c r="D76" s="6" t="s">
        <v>341</v>
      </c>
      <c r="E76" s="6" t="s">
        <v>24</v>
      </c>
      <c r="F76" s="7">
        <v>44149</v>
      </c>
      <c r="G76" s="7"/>
      <c r="H76" s="8">
        <v>666</v>
      </c>
      <c r="I76" s="6"/>
      <c r="J76" s="8">
        <v>4</v>
      </c>
      <c r="K76" s="6" t="s">
        <v>18</v>
      </c>
      <c r="L76" s="8"/>
    </row>
    <row r="77" spans="1:12" hidden="1" x14ac:dyDescent="0.3">
      <c r="A77" s="5" t="s">
        <v>36</v>
      </c>
      <c r="B77" s="6" t="s">
        <v>21</v>
      </c>
      <c r="C77" s="6" t="s">
        <v>22</v>
      </c>
      <c r="D77" s="6" t="str">
        <f>_xlfn.CONCAT("employees.",  RIGHT('Average salary'!$A6, 4), "@jogate.com")</f>
        <v>employees.1122@jogate.com</v>
      </c>
      <c r="E77" s="6" t="s">
        <v>34</v>
      </c>
      <c r="F77" s="7">
        <v>44155</v>
      </c>
      <c r="G77" s="7">
        <v>45318</v>
      </c>
      <c r="H77" s="8">
        <v>1704</v>
      </c>
      <c r="I77" s="6" t="s">
        <v>37</v>
      </c>
      <c r="J77" s="8">
        <v>5</v>
      </c>
      <c r="K77" s="6" t="s">
        <v>35</v>
      </c>
      <c r="L77" s="8"/>
    </row>
    <row r="78" spans="1:12" hidden="1" x14ac:dyDescent="0.3">
      <c r="A78" s="5" t="s">
        <v>54</v>
      </c>
      <c r="B78" s="6" t="s">
        <v>50</v>
      </c>
      <c r="C78" s="6" t="s">
        <v>51</v>
      </c>
      <c r="D78" s="6" t="s">
        <v>55</v>
      </c>
      <c r="E78" s="6" t="s">
        <v>34</v>
      </c>
      <c r="F78" s="7">
        <v>44180</v>
      </c>
      <c r="G78" s="7">
        <v>46048</v>
      </c>
      <c r="H78" s="8">
        <v>2011</v>
      </c>
      <c r="I78" s="6" t="s">
        <v>56</v>
      </c>
      <c r="J78" s="8">
        <v>2</v>
      </c>
      <c r="K78" s="6" t="s">
        <v>35</v>
      </c>
      <c r="L78" s="8"/>
    </row>
    <row r="79" spans="1:12" x14ac:dyDescent="0.3">
      <c r="A79" s="5" t="s">
        <v>388</v>
      </c>
      <c r="B79" s="6" t="s">
        <v>50</v>
      </c>
      <c r="C79" s="6" t="s">
        <v>70</v>
      </c>
      <c r="D79" s="6" t="s">
        <v>389</v>
      </c>
      <c r="E79" s="6" t="s">
        <v>24</v>
      </c>
      <c r="F79" s="7">
        <v>44190</v>
      </c>
      <c r="G79" s="7"/>
      <c r="H79" s="8">
        <v>1279</v>
      </c>
      <c r="I79" s="6" t="s">
        <v>91</v>
      </c>
      <c r="J79" s="8">
        <v>5</v>
      </c>
      <c r="K79" s="6" t="s">
        <v>18</v>
      </c>
      <c r="L79" s="8"/>
    </row>
    <row r="80" spans="1:12" x14ac:dyDescent="0.3">
      <c r="A80" s="5" t="s">
        <v>192</v>
      </c>
      <c r="B80" s="6" t="s">
        <v>50</v>
      </c>
      <c r="C80" s="6" t="s">
        <v>51</v>
      </c>
      <c r="D80" s="6" t="str">
        <f>_xlfn.CONCAT("employees.",  RIGHT('Average salary'!$A78, 4), "@jogate.com")</f>
        <v>employees.1011@jogate.com</v>
      </c>
      <c r="E80" s="6" t="s">
        <v>24</v>
      </c>
      <c r="F80" s="7">
        <v>44197</v>
      </c>
      <c r="G80" s="7"/>
      <c r="H80" s="8">
        <v>1664</v>
      </c>
      <c r="I80" s="6" t="s">
        <v>140</v>
      </c>
      <c r="J80" s="8">
        <v>5</v>
      </c>
      <c r="K80" s="6" t="s">
        <v>18</v>
      </c>
      <c r="L80" s="8"/>
    </row>
    <row r="81" spans="1:12" hidden="1" x14ac:dyDescent="0.3">
      <c r="A81" s="10" t="s">
        <v>167</v>
      </c>
      <c r="B81" s="11" t="s">
        <v>61</v>
      </c>
      <c r="C81" s="11" t="s">
        <v>66</v>
      </c>
      <c r="D81" s="11" t="s">
        <v>168</v>
      </c>
      <c r="E81" s="11" t="s">
        <v>34</v>
      </c>
      <c r="F81" s="12">
        <v>44238</v>
      </c>
      <c r="G81" s="12"/>
      <c r="H81" s="13">
        <v>1832</v>
      </c>
      <c r="I81" s="11" t="s">
        <v>146</v>
      </c>
      <c r="J81" s="13">
        <v>4</v>
      </c>
      <c r="K81" s="11" t="s">
        <v>18</v>
      </c>
      <c r="L81" s="13"/>
    </row>
    <row r="82" spans="1:12" x14ac:dyDescent="0.3">
      <c r="A82" s="5" t="s">
        <v>318</v>
      </c>
      <c r="B82" s="6" t="s">
        <v>61</v>
      </c>
      <c r="C82" s="6" t="s">
        <v>78</v>
      </c>
      <c r="D82" s="6" t="s">
        <v>319</v>
      </c>
      <c r="E82" s="6" t="s">
        <v>16</v>
      </c>
      <c r="F82" s="7">
        <v>44253</v>
      </c>
      <c r="G82" s="7"/>
      <c r="H82" s="8">
        <v>1396</v>
      </c>
      <c r="I82" s="6" t="s">
        <v>120</v>
      </c>
      <c r="J82" s="8">
        <v>3</v>
      </c>
      <c r="K82" s="6" t="s">
        <v>18</v>
      </c>
      <c r="L82" s="8"/>
    </row>
    <row r="83" spans="1:12" x14ac:dyDescent="0.3">
      <c r="A83" s="10" t="s">
        <v>332</v>
      </c>
      <c r="B83" s="11" t="s">
        <v>45</v>
      </c>
      <c r="C83" s="11" t="s">
        <v>97</v>
      </c>
      <c r="D83" s="11" t="s">
        <v>333</v>
      </c>
      <c r="E83" s="11" t="s">
        <v>16</v>
      </c>
      <c r="F83" s="12">
        <v>44260</v>
      </c>
      <c r="G83" s="12"/>
      <c r="H83" s="13">
        <v>2010</v>
      </c>
      <c r="I83" s="11"/>
      <c r="J83" s="13">
        <v>3</v>
      </c>
      <c r="K83" s="11" t="s">
        <v>18</v>
      </c>
      <c r="L83" s="13"/>
    </row>
    <row r="84" spans="1:12" hidden="1" x14ac:dyDescent="0.3">
      <c r="A84" s="5" t="s">
        <v>240</v>
      </c>
      <c r="B84" s="6" t="s">
        <v>61</v>
      </c>
      <c r="C84" s="6" t="s">
        <v>66</v>
      </c>
      <c r="D84" s="6" t="str">
        <f>_xlfn.CONCAT("employees.",  RIGHT('Average salary'!$A110, 4), "@jogate.com")</f>
        <v>employees.1045@jogate.com</v>
      </c>
      <c r="E84" s="6" t="s">
        <v>34</v>
      </c>
      <c r="F84" s="7">
        <v>44263</v>
      </c>
      <c r="G84" s="7"/>
      <c r="H84" s="8">
        <v>717</v>
      </c>
      <c r="I84" s="6" t="s">
        <v>241</v>
      </c>
      <c r="J84" s="8">
        <v>3</v>
      </c>
      <c r="K84" s="6" t="s">
        <v>18</v>
      </c>
      <c r="L84" s="8"/>
    </row>
    <row r="85" spans="1:12" x14ac:dyDescent="0.3">
      <c r="A85" s="5" t="s">
        <v>201</v>
      </c>
      <c r="B85" s="6" t="s">
        <v>21</v>
      </c>
      <c r="C85" s="6" t="s">
        <v>22</v>
      </c>
      <c r="D85" s="6" t="s">
        <v>202</v>
      </c>
      <c r="E85" s="6" t="s">
        <v>24</v>
      </c>
      <c r="F85" s="7">
        <v>44274</v>
      </c>
      <c r="G85" s="7">
        <v>44594</v>
      </c>
      <c r="H85" s="8">
        <v>1065</v>
      </c>
      <c r="I85" s="6" t="s">
        <v>203</v>
      </c>
      <c r="J85" s="8">
        <v>4</v>
      </c>
      <c r="K85" s="6" t="s">
        <v>35</v>
      </c>
      <c r="L85" s="8"/>
    </row>
    <row r="86" spans="1:12" hidden="1" x14ac:dyDescent="0.3">
      <c r="A86" s="10" t="s">
        <v>320</v>
      </c>
      <c r="B86" s="11" t="s">
        <v>31</v>
      </c>
      <c r="C86" s="11" t="s">
        <v>74</v>
      </c>
      <c r="D86" s="11" t="s">
        <v>321</v>
      </c>
      <c r="E86" s="11" t="s">
        <v>34</v>
      </c>
      <c r="F86" s="12">
        <v>44275</v>
      </c>
      <c r="G86" s="12"/>
      <c r="H86" s="13">
        <v>434</v>
      </c>
      <c r="I86" s="11" t="s">
        <v>93</v>
      </c>
      <c r="J86" s="13">
        <v>4</v>
      </c>
      <c r="K86" s="11" t="s">
        <v>18</v>
      </c>
      <c r="L86" s="13"/>
    </row>
    <row r="87" spans="1:12" x14ac:dyDescent="0.3">
      <c r="A87" s="10" t="s">
        <v>72</v>
      </c>
      <c r="B87" s="11" t="s">
        <v>21</v>
      </c>
      <c r="C87" s="11" t="s">
        <v>22</v>
      </c>
      <c r="D87" s="11" t="str">
        <f>_xlfn.CONCAT("employees.",  RIGHT('Average salary'!$A17, 4), "@jogate.com")</f>
        <v>employees.1107@jogate.com</v>
      </c>
      <c r="E87" s="11" t="s">
        <v>16</v>
      </c>
      <c r="F87" s="12">
        <v>44282</v>
      </c>
      <c r="G87" s="12"/>
      <c r="H87" s="13">
        <v>795</v>
      </c>
      <c r="I87" s="11" t="s">
        <v>37</v>
      </c>
      <c r="J87" s="13">
        <v>3</v>
      </c>
      <c r="K87" s="11" t="s">
        <v>18</v>
      </c>
      <c r="L87" s="13"/>
    </row>
    <row r="88" spans="1:12" hidden="1" x14ac:dyDescent="0.3">
      <c r="A88" s="5" t="s">
        <v>124</v>
      </c>
      <c r="B88" s="6" t="s">
        <v>99</v>
      </c>
      <c r="C88" s="6" t="s">
        <v>125</v>
      </c>
      <c r="D88" s="6" t="s">
        <v>126</v>
      </c>
      <c r="E88" s="6" t="s">
        <v>34</v>
      </c>
      <c r="F88" s="7">
        <v>44285</v>
      </c>
      <c r="G88" s="7"/>
      <c r="H88" s="8">
        <v>887</v>
      </c>
      <c r="I88" s="6" t="s">
        <v>113</v>
      </c>
      <c r="J88" s="8">
        <v>4</v>
      </c>
      <c r="K88" s="6" t="s">
        <v>18</v>
      </c>
      <c r="L88" s="8"/>
    </row>
    <row r="89" spans="1:12" x14ac:dyDescent="0.3">
      <c r="A89" s="10" t="s">
        <v>59</v>
      </c>
      <c r="B89" s="11" t="s">
        <v>27</v>
      </c>
      <c r="C89" s="11" t="s">
        <v>28</v>
      </c>
      <c r="D89" s="11" t="s">
        <v>246</v>
      </c>
      <c r="E89" s="11" t="s">
        <v>16</v>
      </c>
      <c r="F89" s="12">
        <v>44289</v>
      </c>
      <c r="G89" s="12"/>
      <c r="H89" s="13">
        <v>1552</v>
      </c>
      <c r="I89" s="11"/>
      <c r="J89" s="13">
        <v>3</v>
      </c>
      <c r="K89" s="11" t="s">
        <v>18</v>
      </c>
      <c r="L89" s="13"/>
    </row>
    <row r="90" spans="1:12" x14ac:dyDescent="0.3">
      <c r="A90" s="5" t="s">
        <v>296</v>
      </c>
      <c r="B90" s="6" t="s">
        <v>45</v>
      </c>
      <c r="C90" s="6" t="s">
        <v>58</v>
      </c>
      <c r="D90" s="6" t="s">
        <v>297</v>
      </c>
      <c r="E90" s="6" t="s">
        <v>16</v>
      </c>
      <c r="F90" s="7">
        <v>44323</v>
      </c>
      <c r="G90" s="7"/>
      <c r="H90" s="8">
        <v>1556</v>
      </c>
      <c r="I90" s="6" t="s">
        <v>130</v>
      </c>
      <c r="J90" s="8">
        <v>2</v>
      </c>
      <c r="K90" s="6" t="s">
        <v>18</v>
      </c>
      <c r="L90" s="8"/>
    </row>
    <row r="91" spans="1:12" x14ac:dyDescent="0.3">
      <c r="A91" s="10" t="s">
        <v>298</v>
      </c>
      <c r="B91" s="11" t="s">
        <v>99</v>
      </c>
      <c r="C91" s="11" t="s">
        <v>138</v>
      </c>
      <c r="D91" s="11" t="s">
        <v>299</v>
      </c>
      <c r="E91" s="11" t="s">
        <v>16</v>
      </c>
      <c r="F91" s="12">
        <v>44327</v>
      </c>
      <c r="G91" s="12"/>
      <c r="H91" s="13">
        <v>432</v>
      </c>
      <c r="I91" s="11" t="s">
        <v>151</v>
      </c>
      <c r="J91" s="13">
        <v>5</v>
      </c>
      <c r="K91" s="11" t="s">
        <v>18</v>
      </c>
      <c r="L91" s="13"/>
    </row>
    <row r="92" spans="1:12" x14ac:dyDescent="0.3">
      <c r="A92" s="10" t="s">
        <v>249</v>
      </c>
      <c r="B92" s="11" t="s">
        <v>42</v>
      </c>
      <c r="C92" s="11" t="s">
        <v>122</v>
      </c>
      <c r="D92" s="11" t="s">
        <v>359</v>
      </c>
      <c r="E92" s="11" t="s">
        <v>24</v>
      </c>
      <c r="F92" s="12">
        <v>44335</v>
      </c>
      <c r="G92" s="12">
        <v>44736</v>
      </c>
      <c r="H92" s="13">
        <v>602</v>
      </c>
      <c r="I92" s="11"/>
      <c r="J92" s="13">
        <v>5</v>
      </c>
      <c r="K92" s="11" t="s">
        <v>35</v>
      </c>
      <c r="L92" s="13"/>
    </row>
    <row r="93" spans="1:12" x14ac:dyDescent="0.3">
      <c r="A93" s="5" t="s">
        <v>360</v>
      </c>
      <c r="B93" s="6" t="s">
        <v>45</v>
      </c>
      <c r="C93" s="6" t="s">
        <v>58</v>
      </c>
      <c r="D93" s="6" t="s">
        <v>361</v>
      </c>
      <c r="E93" s="6" t="s">
        <v>24</v>
      </c>
      <c r="F93" s="7">
        <v>44337</v>
      </c>
      <c r="G93" s="7"/>
      <c r="H93" s="8">
        <v>800</v>
      </c>
      <c r="I93" s="6" t="s">
        <v>230</v>
      </c>
      <c r="J93" s="8">
        <v>3</v>
      </c>
      <c r="K93" s="6" t="s">
        <v>18</v>
      </c>
      <c r="L93" s="8"/>
    </row>
    <row r="94" spans="1:12" hidden="1" x14ac:dyDescent="0.3">
      <c r="A94" s="10" t="s">
        <v>25</v>
      </c>
      <c r="B94" s="11" t="s">
        <v>42</v>
      </c>
      <c r="C94" s="11" t="s">
        <v>43</v>
      </c>
      <c r="D94" s="11" t="s">
        <v>179</v>
      </c>
      <c r="E94" s="11" t="s">
        <v>34</v>
      </c>
      <c r="F94" s="12">
        <v>44339</v>
      </c>
      <c r="G94" s="12"/>
      <c r="H94" s="13">
        <v>976</v>
      </c>
      <c r="I94" s="11"/>
      <c r="J94" s="13">
        <v>5</v>
      </c>
      <c r="K94" s="11" t="s">
        <v>18</v>
      </c>
      <c r="L94" s="13"/>
    </row>
    <row r="95" spans="1:12" hidden="1" x14ac:dyDescent="0.3">
      <c r="A95" s="10" t="s">
        <v>394</v>
      </c>
      <c r="B95" s="11" t="s">
        <v>45</v>
      </c>
      <c r="C95" s="11" t="s">
        <v>58</v>
      </c>
      <c r="D95" s="11" t="s">
        <v>395</v>
      </c>
      <c r="E95" s="11" t="s">
        <v>34</v>
      </c>
      <c r="F95" s="12">
        <v>44359</v>
      </c>
      <c r="G95" s="12"/>
      <c r="H95" s="13">
        <v>1709</v>
      </c>
      <c r="I95" s="11" t="s">
        <v>130</v>
      </c>
      <c r="J95" s="13">
        <v>5</v>
      </c>
      <c r="K95" s="11" t="s">
        <v>18</v>
      </c>
      <c r="L95" s="13"/>
    </row>
    <row r="96" spans="1:12" x14ac:dyDescent="0.3">
      <c r="A96" s="10" t="s">
        <v>113</v>
      </c>
      <c r="B96" s="11" t="s">
        <v>42</v>
      </c>
      <c r="C96" s="11" t="s">
        <v>43</v>
      </c>
      <c r="D96" s="11" t="s">
        <v>309</v>
      </c>
      <c r="E96" s="11" t="s">
        <v>24</v>
      </c>
      <c r="F96" s="12">
        <v>44388</v>
      </c>
      <c r="G96" s="12"/>
      <c r="H96" s="13">
        <v>639</v>
      </c>
      <c r="I96" s="11"/>
      <c r="J96" s="13">
        <v>5</v>
      </c>
      <c r="K96" s="11" t="s">
        <v>18</v>
      </c>
      <c r="L96" s="13"/>
    </row>
    <row r="97" spans="1:12" x14ac:dyDescent="0.3">
      <c r="A97" s="5" t="s">
        <v>177</v>
      </c>
      <c r="B97" s="6" t="s">
        <v>42</v>
      </c>
      <c r="C97" s="6" t="s">
        <v>83</v>
      </c>
      <c r="D97" s="6" t="s">
        <v>178</v>
      </c>
      <c r="E97" s="6" t="s">
        <v>24</v>
      </c>
      <c r="F97" s="7">
        <v>44395</v>
      </c>
      <c r="G97" s="7"/>
      <c r="H97" s="8">
        <v>1319</v>
      </c>
      <c r="I97" s="6" t="s">
        <v>150</v>
      </c>
      <c r="J97" s="8">
        <v>2</v>
      </c>
      <c r="K97" s="6" t="s">
        <v>18</v>
      </c>
      <c r="L97" s="8"/>
    </row>
    <row r="98" spans="1:12" x14ac:dyDescent="0.3">
      <c r="A98" s="5" t="s">
        <v>243</v>
      </c>
      <c r="B98" s="6" t="s">
        <v>50</v>
      </c>
      <c r="C98" s="6" t="s">
        <v>70</v>
      </c>
      <c r="D98" s="6" t="str">
        <f>_xlfn.CONCAT("employees.",  RIGHT('Average salary'!$A112, 4), "@jogate.com")</f>
        <v>employees.1023@jogate.com</v>
      </c>
      <c r="E98" s="6" t="s">
        <v>24</v>
      </c>
      <c r="F98" s="7">
        <v>44437</v>
      </c>
      <c r="G98" s="7"/>
      <c r="H98" s="8">
        <v>1222</v>
      </c>
      <c r="I98" s="6" t="s">
        <v>48</v>
      </c>
      <c r="J98" s="8">
        <v>2</v>
      </c>
      <c r="K98" s="6" t="s">
        <v>18</v>
      </c>
      <c r="L98" s="8"/>
    </row>
    <row r="99" spans="1:12" x14ac:dyDescent="0.3">
      <c r="A99" s="5" t="s">
        <v>203</v>
      </c>
      <c r="B99" s="6" t="s">
        <v>42</v>
      </c>
      <c r="C99" s="6" t="s">
        <v>122</v>
      </c>
      <c r="D99" s="6" t="s">
        <v>352</v>
      </c>
      <c r="E99" s="6" t="s">
        <v>16</v>
      </c>
      <c r="F99" s="7">
        <v>44444</v>
      </c>
      <c r="G99" s="7"/>
      <c r="H99" s="8">
        <v>323</v>
      </c>
      <c r="I99" s="6"/>
      <c r="J99" s="8">
        <v>5</v>
      </c>
      <c r="K99" s="6" t="s">
        <v>18</v>
      </c>
      <c r="L99" s="8"/>
    </row>
    <row r="100" spans="1:12" x14ac:dyDescent="0.3">
      <c r="A100" s="5" t="s">
        <v>293</v>
      </c>
      <c r="B100" s="6" t="s">
        <v>27</v>
      </c>
      <c r="C100" s="6" t="s">
        <v>87</v>
      </c>
      <c r="D100" s="6" t="s">
        <v>294</v>
      </c>
      <c r="E100" s="6" t="s">
        <v>16</v>
      </c>
      <c r="F100" s="7">
        <v>44447</v>
      </c>
      <c r="G100" s="7"/>
      <c r="H100" s="8">
        <v>1186</v>
      </c>
      <c r="I100" s="6" t="s">
        <v>236</v>
      </c>
      <c r="J100" s="8">
        <v>5</v>
      </c>
      <c r="K100" s="6" t="s">
        <v>18</v>
      </c>
      <c r="L100" s="8"/>
    </row>
    <row r="101" spans="1:12" x14ac:dyDescent="0.3">
      <c r="A101" s="10" t="s">
        <v>390</v>
      </c>
      <c r="B101" s="11" t="s">
        <v>99</v>
      </c>
      <c r="C101" s="11" t="s">
        <v>125</v>
      </c>
      <c r="D101" s="11" t="s">
        <v>391</v>
      </c>
      <c r="E101" s="11" t="s">
        <v>16</v>
      </c>
      <c r="F101" s="12">
        <v>44447</v>
      </c>
      <c r="G101" s="12"/>
      <c r="H101" s="13">
        <v>533</v>
      </c>
      <c r="I101" s="11" t="s">
        <v>353</v>
      </c>
      <c r="J101" s="13">
        <v>4</v>
      </c>
      <c r="K101" s="11" t="s">
        <v>18</v>
      </c>
      <c r="L101" s="13"/>
    </row>
    <row r="102" spans="1:12" hidden="1" x14ac:dyDescent="0.3">
      <c r="A102" s="10" t="s">
        <v>48</v>
      </c>
      <c r="B102" s="11" t="s">
        <v>31</v>
      </c>
      <c r="C102" s="11" t="s">
        <v>32</v>
      </c>
      <c r="D102" s="11" t="str">
        <f>_xlfn.CONCAT("employees.",  RIGHT('Average salary'!$A75, 4), "@jogate.com")</f>
        <v>employees.1170@jogate.com</v>
      </c>
      <c r="E102" s="11" t="s">
        <v>34</v>
      </c>
      <c r="F102" s="12">
        <v>44493</v>
      </c>
      <c r="G102" s="12"/>
      <c r="H102" s="13">
        <v>2049</v>
      </c>
      <c r="I102" s="11"/>
      <c r="J102" s="13">
        <v>2</v>
      </c>
      <c r="K102" s="11" t="s">
        <v>18</v>
      </c>
      <c r="L102" s="13"/>
    </row>
    <row r="103" spans="1:12" hidden="1" x14ac:dyDescent="0.3">
      <c r="A103" s="10" t="s">
        <v>274</v>
      </c>
      <c r="B103" s="11" t="s">
        <v>61</v>
      </c>
      <c r="C103" s="11" t="s">
        <v>62</v>
      </c>
      <c r="D103" s="11" t="s">
        <v>275</v>
      </c>
      <c r="E103" s="11" t="s">
        <v>34</v>
      </c>
      <c r="F103" s="12">
        <v>44507</v>
      </c>
      <c r="G103" s="12"/>
      <c r="H103" s="13">
        <v>1869</v>
      </c>
      <c r="I103" s="11" t="s">
        <v>40</v>
      </c>
      <c r="J103" s="13">
        <v>2</v>
      </c>
      <c r="K103" s="11" t="s">
        <v>18</v>
      </c>
      <c r="L103" s="13"/>
    </row>
    <row r="104" spans="1:12" x14ac:dyDescent="0.3">
      <c r="A104" s="5" t="s">
        <v>53</v>
      </c>
      <c r="B104" s="6" t="s">
        <v>42</v>
      </c>
      <c r="C104" s="6" t="s">
        <v>43</v>
      </c>
      <c r="D104" s="6" t="s">
        <v>218</v>
      </c>
      <c r="E104" s="6" t="s">
        <v>24</v>
      </c>
      <c r="F104" s="7">
        <v>44511</v>
      </c>
      <c r="G104" s="7"/>
      <c r="H104" s="8">
        <v>782</v>
      </c>
      <c r="I104" s="6"/>
      <c r="J104" s="8">
        <v>2</v>
      </c>
      <c r="K104" s="6" t="s">
        <v>18</v>
      </c>
      <c r="L104" s="8"/>
    </row>
    <row r="105" spans="1:12" x14ac:dyDescent="0.3">
      <c r="A105" s="5" t="s">
        <v>396</v>
      </c>
      <c r="B105" s="6" t="s">
        <v>13</v>
      </c>
      <c r="C105" s="6" t="s">
        <v>264</v>
      </c>
      <c r="D105" s="6" t="s">
        <v>397</v>
      </c>
      <c r="E105" s="6" t="s">
        <v>24</v>
      </c>
      <c r="F105" s="7">
        <v>44555</v>
      </c>
      <c r="G105" s="7"/>
      <c r="H105" s="8">
        <v>472</v>
      </c>
      <c r="I105" s="6" t="s">
        <v>71</v>
      </c>
      <c r="J105" s="8">
        <v>5</v>
      </c>
      <c r="K105" s="6" t="s">
        <v>18</v>
      </c>
      <c r="L105" s="8"/>
    </row>
    <row r="106" spans="1:12" x14ac:dyDescent="0.3">
      <c r="A106" s="10" t="s">
        <v>254</v>
      </c>
      <c r="B106" s="11" t="s">
        <v>31</v>
      </c>
      <c r="C106" s="11" t="s">
        <v>74</v>
      </c>
      <c r="D106" s="11" t="s">
        <v>255</v>
      </c>
      <c r="E106" s="11" t="s">
        <v>16</v>
      </c>
      <c r="F106" s="12">
        <v>44569</v>
      </c>
      <c r="G106" s="12"/>
      <c r="H106" s="13">
        <v>1403</v>
      </c>
      <c r="I106" s="11" t="s">
        <v>210</v>
      </c>
      <c r="J106" s="13">
        <v>3</v>
      </c>
      <c r="K106" s="11" t="s">
        <v>18</v>
      </c>
      <c r="L106" s="13"/>
    </row>
    <row r="107" spans="1:12" x14ac:dyDescent="0.3">
      <c r="A107" s="5" t="s">
        <v>153</v>
      </c>
      <c r="B107" s="6" t="s">
        <v>21</v>
      </c>
      <c r="C107" s="6" t="s">
        <v>154</v>
      </c>
      <c r="D107" s="6" t="s">
        <v>155</v>
      </c>
      <c r="E107" s="6" t="s">
        <v>24</v>
      </c>
      <c r="F107" s="7">
        <v>44602</v>
      </c>
      <c r="G107" s="7"/>
      <c r="H107" s="8">
        <v>979</v>
      </c>
      <c r="I107" s="6" t="s">
        <v>156</v>
      </c>
      <c r="J107" s="8">
        <v>2</v>
      </c>
      <c r="K107" s="6" t="s">
        <v>18</v>
      </c>
      <c r="L107" s="8"/>
    </row>
    <row r="108" spans="1:12" hidden="1" x14ac:dyDescent="0.3">
      <c r="A108" s="10" t="s">
        <v>82</v>
      </c>
      <c r="B108" s="11" t="s">
        <v>42</v>
      </c>
      <c r="C108" s="11" t="s">
        <v>83</v>
      </c>
      <c r="D108" s="11" t="str">
        <f>_xlfn.CONCAT("employees.",  RIGHT('Average salary'!$A23, 4), "@jogate.com")</f>
        <v>employees.1043@jogate.com</v>
      </c>
      <c r="E108" s="11" t="s">
        <v>34</v>
      </c>
      <c r="F108" s="12">
        <v>44617</v>
      </c>
      <c r="G108" s="12">
        <v>45413</v>
      </c>
      <c r="H108" s="13">
        <v>612</v>
      </c>
      <c r="I108" s="11" t="s">
        <v>84</v>
      </c>
      <c r="J108" s="13">
        <v>2</v>
      </c>
      <c r="K108" s="11" t="s">
        <v>35</v>
      </c>
      <c r="L108" s="13"/>
    </row>
    <row r="109" spans="1:12" x14ac:dyDescent="0.3">
      <c r="A109" s="10" t="s">
        <v>41</v>
      </c>
      <c r="B109" s="11" t="s">
        <v>42</v>
      </c>
      <c r="C109" s="11" t="s">
        <v>43</v>
      </c>
      <c r="D109" s="11" t="str">
        <f>_xlfn.CONCAT("employees.",  RIGHT('Average salary'!$A9, 4), "@jogate.com")</f>
        <v>employees.1052@jogate.com</v>
      </c>
      <c r="E109" s="11" t="s">
        <v>16</v>
      </c>
      <c r="F109" s="12">
        <v>44630</v>
      </c>
      <c r="G109" s="12"/>
      <c r="H109" s="13">
        <v>2086</v>
      </c>
      <c r="I109" s="11"/>
      <c r="J109" s="13">
        <v>4</v>
      </c>
      <c r="K109" s="11" t="s">
        <v>18</v>
      </c>
      <c r="L109" s="13"/>
    </row>
    <row r="110" spans="1:12" x14ac:dyDescent="0.3">
      <c r="A110" s="5" t="s">
        <v>132</v>
      </c>
      <c r="B110" s="6" t="s">
        <v>21</v>
      </c>
      <c r="C110" s="6" t="s">
        <v>133</v>
      </c>
      <c r="D110" s="6" t="s">
        <v>134</v>
      </c>
      <c r="E110" s="6" t="s">
        <v>24</v>
      </c>
      <c r="F110" s="7">
        <v>44643</v>
      </c>
      <c r="G110" s="7"/>
      <c r="H110" s="8">
        <v>1811</v>
      </c>
      <c r="I110" s="6" t="s">
        <v>64</v>
      </c>
      <c r="J110" s="8">
        <v>3</v>
      </c>
      <c r="K110" s="6" t="s">
        <v>18</v>
      </c>
      <c r="L110" s="8"/>
    </row>
    <row r="111" spans="1:12" x14ac:dyDescent="0.3">
      <c r="A111" s="5" t="s">
        <v>12</v>
      </c>
      <c r="B111" s="6" t="s">
        <v>13</v>
      </c>
      <c r="C111" s="6" t="s">
        <v>14</v>
      </c>
      <c r="D111" s="6" t="s">
        <v>15</v>
      </c>
      <c r="E111" s="6" t="s">
        <v>16</v>
      </c>
      <c r="F111" s="7">
        <v>44668</v>
      </c>
      <c r="G111" s="7"/>
      <c r="H111" s="8">
        <v>892</v>
      </c>
      <c r="I111" s="6" t="s">
        <v>17</v>
      </c>
      <c r="J111" s="8">
        <v>2</v>
      </c>
      <c r="K111" s="6" t="s">
        <v>18</v>
      </c>
      <c r="L111" s="8"/>
    </row>
    <row r="112" spans="1:12" hidden="1" x14ac:dyDescent="0.3">
      <c r="A112" s="5" t="s">
        <v>85</v>
      </c>
      <c r="B112" s="6" t="s">
        <v>31</v>
      </c>
      <c r="C112" s="6" t="s">
        <v>74</v>
      </c>
      <c r="D112" s="6" t="str">
        <f>_xlfn.CONCAT("employees.",  RIGHT('Average salary'!$A24, 4), "@jogate.com")</f>
        <v>employees.1117@jogate.com</v>
      </c>
      <c r="E112" s="6" t="s">
        <v>34</v>
      </c>
      <c r="F112" s="7">
        <v>44683</v>
      </c>
      <c r="G112" s="7"/>
      <c r="H112" s="8">
        <v>436</v>
      </c>
      <c r="I112" s="6" t="s">
        <v>79</v>
      </c>
      <c r="J112" s="8">
        <v>5</v>
      </c>
      <c r="K112" s="6" t="s">
        <v>18</v>
      </c>
      <c r="L112" s="8"/>
    </row>
    <row r="113" spans="1:12" x14ac:dyDescent="0.3">
      <c r="A113" s="5" t="s">
        <v>26</v>
      </c>
      <c r="B113" s="6" t="s">
        <v>27</v>
      </c>
      <c r="C113" s="6" t="s">
        <v>28</v>
      </c>
      <c r="D113" s="6" t="s">
        <v>29</v>
      </c>
      <c r="E113" s="6" t="s">
        <v>16</v>
      </c>
      <c r="F113" s="7">
        <v>44694</v>
      </c>
      <c r="G113" s="7"/>
      <c r="H113" s="8">
        <v>1627</v>
      </c>
      <c r="I113" s="6"/>
      <c r="J113" s="8">
        <v>3</v>
      </c>
      <c r="K113" s="6" t="s">
        <v>18</v>
      </c>
      <c r="L113" s="8"/>
    </row>
    <row r="114" spans="1:12" x14ac:dyDescent="0.3">
      <c r="A114" s="10" t="s">
        <v>346</v>
      </c>
      <c r="B114" s="11" t="s">
        <v>13</v>
      </c>
      <c r="C114" s="11" t="s">
        <v>264</v>
      </c>
      <c r="D114" s="11" t="s">
        <v>347</v>
      </c>
      <c r="E114" s="11" t="s">
        <v>16</v>
      </c>
      <c r="F114" s="12">
        <v>44705</v>
      </c>
      <c r="G114" s="12"/>
      <c r="H114" s="13">
        <v>1020</v>
      </c>
      <c r="I114" s="11" t="s">
        <v>146</v>
      </c>
      <c r="J114" s="13">
        <v>5</v>
      </c>
      <c r="K114" s="11" t="s">
        <v>18</v>
      </c>
      <c r="L114" s="13"/>
    </row>
    <row r="115" spans="1:12" x14ac:dyDescent="0.3">
      <c r="A115" s="5" t="s">
        <v>268</v>
      </c>
      <c r="B115" s="6" t="s">
        <v>13</v>
      </c>
      <c r="C115" s="6" t="s">
        <v>264</v>
      </c>
      <c r="D115" s="6" t="s">
        <v>269</v>
      </c>
      <c r="E115" s="6" t="s">
        <v>16</v>
      </c>
      <c r="F115" s="7">
        <v>44712</v>
      </c>
      <c r="G115" s="7"/>
      <c r="H115" s="8">
        <v>299</v>
      </c>
      <c r="I115" s="6" t="s">
        <v>79</v>
      </c>
      <c r="J115" s="8">
        <v>4</v>
      </c>
      <c r="K115" s="6" t="s">
        <v>18</v>
      </c>
      <c r="L115" s="8"/>
    </row>
    <row r="116" spans="1:12" hidden="1" x14ac:dyDescent="0.3">
      <c r="A116" s="5" t="s">
        <v>69</v>
      </c>
      <c r="B116" s="6" t="s">
        <v>50</v>
      </c>
      <c r="C116" s="6" t="s">
        <v>70</v>
      </c>
      <c r="D116" s="6" t="str">
        <f>_xlfn.CONCAT("employees.",  RIGHT('Average salary'!$A16, 4), "@jogate.com")</f>
        <v>employees.1144@jogate.com</v>
      </c>
      <c r="E116" s="6" t="s">
        <v>34</v>
      </c>
      <c r="F116" s="7">
        <v>44731</v>
      </c>
      <c r="G116" s="7"/>
      <c r="H116" s="8">
        <v>1546</v>
      </c>
      <c r="I116" s="6" t="s">
        <v>71</v>
      </c>
      <c r="J116" s="8">
        <v>4</v>
      </c>
      <c r="K116" s="6" t="s">
        <v>18</v>
      </c>
      <c r="L116" s="8"/>
    </row>
    <row r="117" spans="1:12" x14ac:dyDescent="0.3">
      <c r="A117" s="10" t="s">
        <v>127</v>
      </c>
      <c r="B117" s="11" t="s">
        <v>50</v>
      </c>
      <c r="C117" s="11" t="s">
        <v>70</v>
      </c>
      <c r="D117" s="11" t="str">
        <f>_xlfn.CONCAT("employees.",  RIGHT('Average salary'!$A43, 4), "@jogate.com")</f>
        <v>employees.1186@jogate.com</v>
      </c>
      <c r="E117" s="11" t="s">
        <v>24</v>
      </c>
      <c r="F117" s="12">
        <v>44756</v>
      </c>
      <c r="G117" s="12"/>
      <c r="H117" s="13">
        <v>2090</v>
      </c>
      <c r="I117" s="11" t="s">
        <v>128</v>
      </c>
      <c r="J117" s="13">
        <v>3</v>
      </c>
      <c r="K117" s="11" t="s">
        <v>18</v>
      </c>
      <c r="L117" s="13"/>
    </row>
    <row r="118" spans="1:12" hidden="1" x14ac:dyDescent="0.3">
      <c r="A118" s="10" t="s">
        <v>75</v>
      </c>
      <c r="B118" s="11" t="s">
        <v>61</v>
      </c>
      <c r="C118" s="11" t="s">
        <v>62</v>
      </c>
      <c r="D118" s="11" t="str">
        <f>_xlfn.CONCAT("employees.",  RIGHT('Average salary'!$A19, 4), "@jogate.com")</f>
        <v>employees.1156@jogate.com</v>
      </c>
      <c r="E118" s="11" t="s">
        <v>34</v>
      </c>
      <c r="F118" s="12">
        <v>44772</v>
      </c>
      <c r="G118" s="12">
        <v>45521</v>
      </c>
      <c r="H118" s="13">
        <v>1454</v>
      </c>
      <c r="I118" s="11" t="s">
        <v>76</v>
      </c>
      <c r="J118" s="13">
        <v>4</v>
      </c>
      <c r="K118" s="11" t="s">
        <v>35</v>
      </c>
      <c r="L118" s="13"/>
    </row>
    <row r="119" spans="1:12" x14ac:dyDescent="0.3">
      <c r="A119" s="10" t="s">
        <v>146</v>
      </c>
      <c r="B119" s="11" t="s">
        <v>31</v>
      </c>
      <c r="C119" s="11" t="s">
        <v>32</v>
      </c>
      <c r="D119" s="11" t="s">
        <v>147</v>
      </c>
      <c r="E119" s="11" t="s">
        <v>16</v>
      </c>
      <c r="F119" s="12">
        <v>44808</v>
      </c>
      <c r="G119" s="12"/>
      <c r="H119" s="13">
        <v>1314</v>
      </c>
      <c r="I119" s="11"/>
      <c r="J119" s="13">
        <v>5</v>
      </c>
      <c r="K119" s="11" t="s">
        <v>18</v>
      </c>
      <c r="L119" s="13"/>
    </row>
    <row r="120" spans="1:12" x14ac:dyDescent="0.3">
      <c r="A120" s="5" t="s">
        <v>56</v>
      </c>
      <c r="B120" s="6" t="s">
        <v>31</v>
      </c>
      <c r="C120" s="6" t="s">
        <v>32</v>
      </c>
      <c r="D120" s="6" t="str">
        <f>_xlfn.CONCAT("employees.",  RIGHT('Average salary'!$A20, 4), "@jogate.com")</f>
        <v>employees.1174@jogate.com</v>
      </c>
      <c r="E120" s="6" t="s">
        <v>16</v>
      </c>
      <c r="F120" s="7">
        <v>44819</v>
      </c>
      <c r="G120" s="7"/>
      <c r="H120" s="8">
        <v>1080</v>
      </c>
      <c r="I120" s="6"/>
      <c r="J120" s="8">
        <v>5</v>
      </c>
      <c r="K120" s="6" t="s">
        <v>18</v>
      </c>
      <c r="L120" s="8"/>
    </row>
    <row r="121" spans="1:12" hidden="1" x14ac:dyDescent="0.3">
      <c r="A121" s="10" t="s">
        <v>242</v>
      </c>
      <c r="B121" s="11" t="s">
        <v>99</v>
      </c>
      <c r="C121" s="11" t="s">
        <v>138</v>
      </c>
      <c r="D121" s="11" t="str">
        <f>_xlfn.CONCAT("employees.",  RIGHT('Average salary'!$A111, 4), "@jogate.com")</f>
        <v>employees.1001@jogate.com</v>
      </c>
      <c r="E121" s="11" t="s">
        <v>34</v>
      </c>
      <c r="F121" s="12">
        <v>44836</v>
      </c>
      <c r="G121" s="12"/>
      <c r="H121" s="13">
        <v>1436</v>
      </c>
      <c r="I121" s="11" t="s">
        <v>146</v>
      </c>
      <c r="J121" s="13">
        <v>4</v>
      </c>
      <c r="K121" s="11" t="s">
        <v>18</v>
      </c>
      <c r="L121" s="13"/>
    </row>
    <row r="122" spans="1:12" x14ac:dyDescent="0.3">
      <c r="A122" s="5" t="s">
        <v>367</v>
      </c>
      <c r="B122" s="6" t="s">
        <v>50</v>
      </c>
      <c r="C122" s="6" t="s">
        <v>70</v>
      </c>
      <c r="D122" s="6" t="s">
        <v>368</v>
      </c>
      <c r="E122" s="6" t="s">
        <v>24</v>
      </c>
      <c r="F122" s="7">
        <v>44843</v>
      </c>
      <c r="G122" s="7"/>
      <c r="H122" s="8">
        <v>1991</v>
      </c>
      <c r="I122" s="6" t="s">
        <v>98</v>
      </c>
      <c r="J122" s="8">
        <v>4</v>
      </c>
      <c r="K122" s="6" t="s">
        <v>18</v>
      </c>
      <c r="L122" s="8"/>
    </row>
    <row r="123" spans="1:12" x14ac:dyDescent="0.3">
      <c r="A123" s="5" t="s">
        <v>334</v>
      </c>
      <c r="B123" s="6" t="s">
        <v>27</v>
      </c>
      <c r="C123" s="6" t="s">
        <v>90</v>
      </c>
      <c r="D123" s="6" t="s">
        <v>335</v>
      </c>
      <c r="E123" s="6" t="s">
        <v>24</v>
      </c>
      <c r="F123" s="7">
        <v>44868</v>
      </c>
      <c r="G123" s="7"/>
      <c r="H123" s="8">
        <v>1944</v>
      </c>
      <c r="I123" s="6" t="s">
        <v>164</v>
      </c>
      <c r="J123" s="8">
        <v>5</v>
      </c>
      <c r="K123" s="6" t="s">
        <v>18</v>
      </c>
      <c r="L123" s="8"/>
    </row>
    <row r="124" spans="1:12" x14ac:dyDescent="0.3">
      <c r="A124" s="10" t="s">
        <v>105</v>
      </c>
      <c r="B124" s="11" t="s">
        <v>50</v>
      </c>
      <c r="C124" s="11" t="s">
        <v>51</v>
      </c>
      <c r="D124" s="11" t="s">
        <v>106</v>
      </c>
      <c r="E124" s="11" t="s">
        <v>16</v>
      </c>
      <c r="F124" s="12">
        <v>44870</v>
      </c>
      <c r="G124" s="12"/>
      <c r="H124" s="13">
        <v>763</v>
      </c>
      <c r="I124" s="11" t="s">
        <v>107</v>
      </c>
      <c r="J124" s="13">
        <v>4</v>
      </c>
      <c r="K124" s="11" t="s">
        <v>18</v>
      </c>
      <c r="L124" s="13"/>
    </row>
    <row r="125" spans="1:12" x14ac:dyDescent="0.3">
      <c r="A125" s="10" t="s">
        <v>79</v>
      </c>
      <c r="B125" s="11" t="s">
        <v>42</v>
      </c>
      <c r="C125" s="11" t="s">
        <v>43</v>
      </c>
      <c r="D125" s="11" t="s">
        <v>172</v>
      </c>
      <c r="E125" s="11" t="s">
        <v>24</v>
      </c>
      <c r="F125" s="12">
        <v>44879</v>
      </c>
      <c r="G125" s="12">
        <v>45955</v>
      </c>
      <c r="H125" s="13">
        <v>286</v>
      </c>
      <c r="I125" s="11"/>
      <c r="J125" s="13">
        <v>4</v>
      </c>
      <c r="K125" s="11" t="s">
        <v>35</v>
      </c>
      <c r="L125" s="13"/>
    </row>
    <row r="126" spans="1:12" x14ac:dyDescent="0.3">
      <c r="A126" s="5" t="s">
        <v>374</v>
      </c>
      <c r="B126" s="6" t="s">
        <v>99</v>
      </c>
      <c r="C126" s="6" t="s">
        <v>138</v>
      </c>
      <c r="D126" s="6" t="s">
        <v>375</v>
      </c>
      <c r="E126" s="6" t="s">
        <v>16</v>
      </c>
      <c r="F126" s="7">
        <v>44884</v>
      </c>
      <c r="G126" s="7"/>
      <c r="H126" s="8">
        <v>1500</v>
      </c>
      <c r="I126" s="6" t="s">
        <v>37</v>
      </c>
      <c r="J126" s="8">
        <v>5</v>
      </c>
      <c r="K126" s="6" t="s">
        <v>18</v>
      </c>
      <c r="L126" s="8"/>
    </row>
    <row r="127" spans="1:12" x14ac:dyDescent="0.3">
      <c r="A127" s="10" t="s">
        <v>182</v>
      </c>
      <c r="B127" s="11" t="s">
        <v>50</v>
      </c>
      <c r="C127" s="11" t="s">
        <v>51</v>
      </c>
      <c r="D127" s="11" t="s">
        <v>183</v>
      </c>
      <c r="E127" s="11" t="s">
        <v>24</v>
      </c>
      <c r="F127" s="12">
        <v>44885</v>
      </c>
      <c r="G127" s="12"/>
      <c r="H127" s="13">
        <v>784</v>
      </c>
      <c r="I127" s="11" t="s">
        <v>88</v>
      </c>
      <c r="J127" s="13">
        <v>4</v>
      </c>
      <c r="K127" s="11" t="s">
        <v>18</v>
      </c>
      <c r="L127" s="13"/>
    </row>
    <row r="128" spans="1:12" hidden="1" x14ac:dyDescent="0.3">
      <c r="A128" s="5" t="s">
        <v>150</v>
      </c>
      <c r="B128" s="6" t="s">
        <v>99</v>
      </c>
      <c r="C128" s="6" t="s">
        <v>100</v>
      </c>
      <c r="D128" s="6" t="s">
        <v>378</v>
      </c>
      <c r="E128" s="6" t="s">
        <v>34</v>
      </c>
      <c r="F128" s="7">
        <v>44885</v>
      </c>
      <c r="G128" s="7"/>
      <c r="H128" s="8">
        <v>1400</v>
      </c>
      <c r="I128" s="6"/>
      <c r="J128" s="8">
        <v>4</v>
      </c>
      <c r="K128" s="6" t="s">
        <v>18</v>
      </c>
      <c r="L128" s="8"/>
    </row>
    <row r="129" spans="1:12" x14ac:dyDescent="0.3">
      <c r="A129" s="5" t="s">
        <v>326</v>
      </c>
      <c r="B129" s="6" t="s">
        <v>21</v>
      </c>
      <c r="C129" s="6" t="s">
        <v>154</v>
      </c>
      <c r="D129" s="6" t="s">
        <v>327</v>
      </c>
      <c r="E129" s="6" t="s">
        <v>24</v>
      </c>
      <c r="F129" s="7">
        <v>44925</v>
      </c>
      <c r="G129" s="7">
        <v>46877</v>
      </c>
      <c r="H129" s="8">
        <v>448</v>
      </c>
      <c r="I129" s="6" t="s">
        <v>237</v>
      </c>
      <c r="J129" s="8">
        <v>4</v>
      </c>
      <c r="K129" s="6" t="s">
        <v>35</v>
      </c>
      <c r="L129" s="8"/>
    </row>
    <row r="130" spans="1:12" x14ac:dyDescent="0.3">
      <c r="A130" s="10" t="s">
        <v>232</v>
      </c>
      <c r="B130" s="11" t="s">
        <v>45</v>
      </c>
      <c r="C130" s="11" t="s">
        <v>58</v>
      </c>
      <c r="D130" s="11" t="s">
        <v>233</v>
      </c>
      <c r="E130" s="11" t="s">
        <v>16</v>
      </c>
      <c r="F130" s="12">
        <v>44942</v>
      </c>
      <c r="G130" s="12"/>
      <c r="H130" s="13">
        <v>704</v>
      </c>
      <c r="I130" s="11" t="s">
        <v>98</v>
      </c>
      <c r="J130" s="13">
        <v>5</v>
      </c>
      <c r="K130" s="11" t="s">
        <v>18</v>
      </c>
      <c r="L130" s="13"/>
    </row>
    <row r="131" spans="1:12" x14ac:dyDescent="0.3">
      <c r="A131" s="10" t="s">
        <v>239</v>
      </c>
      <c r="B131" s="11" t="s">
        <v>50</v>
      </c>
      <c r="C131" s="11" t="s">
        <v>51</v>
      </c>
      <c r="D131" s="11" t="str">
        <f>_xlfn.CONCAT("employees.",  RIGHT('Average salary'!$A107, 4), "@jogate.com")</f>
        <v>employees.1053@jogate.com</v>
      </c>
      <c r="E131" s="11" t="s">
        <v>24</v>
      </c>
      <c r="F131" s="12">
        <v>44945</v>
      </c>
      <c r="G131" s="12">
        <v>45321</v>
      </c>
      <c r="H131" s="13">
        <v>1507</v>
      </c>
      <c r="I131" s="11" t="s">
        <v>40</v>
      </c>
      <c r="J131" s="13">
        <v>2</v>
      </c>
      <c r="K131" s="11" t="s">
        <v>35</v>
      </c>
      <c r="L131" s="13"/>
    </row>
    <row r="132" spans="1:12" x14ac:dyDescent="0.3">
      <c r="A132" s="5" t="s">
        <v>392</v>
      </c>
      <c r="B132" s="6" t="s">
        <v>31</v>
      </c>
      <c r="C132" s="6" t="s">
        <v>74</v>
      </c>
      <c r="D132" s="6" t="s">
        <v>393</v>
      </c>
      <c r="E132" s="6" t="s">
        <v>16</v>
      </c>
      <c r="F132" s="7">
        <v>44956</v>
      </c>
      <c r="G132" s="7"/>
      <c r="H132" s="8">
        <v>1593</v>
      </c>
      <c r="I132" s="6" t="s">
        <v>128</v>
      </c>
      <c r="J132" s="8">
        <v>3</v>
      </c>
      <c r="K132" s="6" t="s">
        <v>18</v>
      </c>
      <c r="L132" s="8"/>
    </row>
    <row r="133" spans="1:12" x14ac:dyDescent="0.3">
      <c r="A133" s="10" t="s">
        <v>20</v>
      </c>
      <c r="B133" s="11" t="s">
        <v>21</v>
      </c>
      <c r="C133" s="11" t="s">
        <v>22</v>
      </c>
      <c r="D133" s="11" t="s">
        <v>23</v>
      </c>
      <c r="E133" s="11" t="s">
        <v>24</v>
      </c>
      <c r="F133" s="12">
        <v>44964</v>
      </c>
      <c r="G133" s="12"/>
      <c r="H133" s="13">
        <v>421</v>
      </c>
      <c r="I133" s="11" t="s">
        <v>25</v>
      </c>
      <c r="J133" s="13">
        <v>2</v>
      </c>
      <c r="K133" s="11" t="s">
        <v>18</v>
      </c>
      <c r="L133" s="13"/>
    </row>
    <row r="134" spans="1:12" x14ac:dyDescent="0.3">
      <c r="A134" s="5" t="s">
        <v>206</v>
      </c>
      <c r="B134" s="6" t="s">
        <v>31</v>
      </c>
      <c r="C134" s="6" t="s">
        <v>74</v>
      </c>
      <c r="D134" s="6" t="s">
        <v>207</v>
      </c>
      <c r="E134" s="6" t="s">
        <v>24</v>
      </c>
      <c r="F134" s="7">
        <v>44993</v>
      </c>
      <c r="G134" s="7"/>
      <c r="H134" s="8">
        <v>628</v>
      </c>
      <c r="I134" s="6" t="s">
        <v>96</v>
      </c>
      <c r="J134" s="8">
        <v>5</v>
      </c>
      <c r="K134" s="6" t="s">
        <v>18</v>
      </c>
      <c r="L134" s="8"/>
    </row>
    <row r="135" spans="1:12" x14ac:dyDescent="0.3">
      <c r="A135" s="10" t="s">
        <v>64</v>
      </c>
      <c r="B135" s="11" t="s">
        <v>13</v>
      </c>
      <c r="C135" s="11" t="s">
        <v>14</v>
      </c>
      <c r="D135" s="11" t="s">
        <v>223</v>
      </c>
      <c r="E135" s="11" t="s">
        <v>24</v>
      </c>
      <c r="F135" s="12">
        <v>45018</v>
      </c>
      <c r="G135" s="12"/>
      <c r="H135" s="13">
        <v>1773</v>
      </c>
      <c r="I135" s="11" t="s">
        <v>110</v>
      </c>
      <c r="J135" s="13">
        <v>5</v>
      </c>
      <c r="K135" s="11" t="s">
        <v>18</v>
      </c>
      <c r="L135" s="13"/>
    </row>
    <row r="136" spans="1:12" x14ac:dyDescent="0.3">
      <c r="A136" s="5" t="s">
        <v>198</v>
      </c>
      <c r="B136" s="6" t="s">
        <v>50</v>
      </c>
      <c r="C136" s="6" t="s">
        <v>70</v>
      </c>
      <c r="D136" s="6" t="s">
        <v>199</v>
      </c>
      <c r="E136" s="6" t="s">
        <v>16</v>
      </c>
      <c r="F136" s="7">
        <v>45028</v>
      </c>
      <c r="G136" s="7">
        <v>45741</v>
      </c>
      <c r="H136" s="8">
        <v>648</v>
      </c>
      <c r="I136" s="6" t="s">
        <v>104</v>
      </c>
      <c r="J136" s="8">
        <v>4</v>
      </c>
      <c r="K136" s="6" t="s">
        <v>35</v>
      </c>
      <c r="L136" s="8"/>
    </row>
    <row r="137" spans="1:12" x14ac:dyDescent="0.3">
      <c r="A137" s="10" t="s">
        <v>372</v>
      </c>
      <c r="B137" s="11" t="s">
        <v>45</v>
      </c>
      <c r="C137" s="11" t="s">
        <v>46</v>
      </c>
      <c r="D137" s="11" t="s">
        <v>373</v>
      </c>
      <c r="E137" s="11" t="s">
        <v>24</v>
      </c>
      <c r="F137" s="12">
        <v>45038</v>
      </c>
      <c r="G137" s="12"/>
      <c r="H137" s="13">
        <v>423</v>
      </c>
      <c r="I137" s="11" t="s">
        <v>98</v>
      </c>
      <c r="J137" s="13">
        <v>4</v>
      </c>
      <c r="K137" s="11" t="s">
        <v>18</v>
      </c>
      <c r="L137" s="13"/>
    </row>
    <row r="138" spans="1:12" hidden="1" x14ac:dyDescent="0.3">
      <c r="A138" s="5" t="s">
        <v>211</v>
      </c>
      <c r="B138" s="6" t="s">
        <v>99</v>
      </c>
      <c r="C138" s="6" t="s">
        <v>138</v>
      </c>
      <c r="D138" s="6" t="s">
        <v>212</v>
      </c>
      <c r="E138" s="6" t="s">
        <v>34</v>
      </c>
      <c r="F138" s="7">
        <v>45058</v>
      </c>
      <c r="G138" s="7">
        <v>45437</v>
      </c>
      <c r="H138" s="8">
        <v>761</v>
      </c>
      <c r="I138" s="6" t="s">
        <v>68</v>
      </c>
      <c r="J138" s="8">
        <v>3</v>
      </c>
      <c r="K138" s="6" t="s">
        <v>35</v>
      </c>
      <c r="L138" s="8"/>
    </row>
    <row r="139" spans="1:12" hidden="1" x14ac:dyDescent="0.3">
      <c r="A139" s="10" t="s">
        <v>30</v>
      </c>
      <c r="B139" s="11" t="s">
        <v>31</v>
      </c>
      <c r="C139" s="11" t="s">
        <v>32</v>
      </c>
      <c r="D139" s="11" t="s">
        <v>33</v>
      </c>
      <c r="E139" s="11" t="s">
        <v>34</v>
      </c>
      <c r="F139" s="12">
        <v>45072</v>
      </c>
      <c r="G139" s="12">
        <v>45583</v>
      </c>
      <c r="H139" s="13">
        <v>870</v>
      </c>
      <c r="I139" s="11"/>
      <c r="J139" s="13">
        <v>3</v>
      </c>
      <c r="K139" s="11" t="s">
        <v>35</v>
      </c>
      <c r="L139" s="13"/>
    </row>
    <row r="140" spans="1:12" x14ac:dyDescent="0.3">
      <c r="A140" s="5" t="s">
        <v>357</v>
      </c>
      <c r="B140" s="6" t="s">
        <v>13</v>
      </c>
      <c r="C140" s="6" t="s">
        <v>160</v>
      </c>
      <c r="D140" s="6" t="s">
        <v>358</v>
      </c>
      <c r="E140" s="6" t="s">
        <v>24</v>
      </c>
      <c r="F140" s="7">
        <v>45078</v>
      </c>
      <c r="G140" s="7"/>
      <c r="H140" s="8">
        <v>1651</v>
      </c>
      <c r="I140" s="6" t="s">
        <v>237</v>
      </c>
      <c r="J140" s="8">
        <v>3</v>
      </c>
      <c r="K140" s="6" t="s">
        <v>18</v>
      </c>
      <c r="L140" s="8"/>
    </row>
    <row r="141" spans="1:12" x14ac:dyDescent="0.3">
      <c r="A141" s="5" t="s">
        <v>385</v>
      </c>
      <c r="B141" s="6" t="s">
        <v>31</v>
      </c>
      <c r="C141" s="6" t="s">
        <v>74</v>
      </c>
      <c r="D141" s="6" t="s">
        <v>386</v>
      </c>
      <c r="E141" s="6" t="s">
        <v>16</v>
      </c>
      <c r="F141" s="7">
        <v>45097</v>
      </c>
      <c r="G141" s="7"/>
      <c r="H141" s="8">
        <v>1124</v>
      </c>
      <c r="I141" s="6" t="s">
        <v>64</v>
      </c>
      <c r="J141" s="8">
        <v>3</v>
      </c>
      <c r="K141" s="6" t="s">
        <v>18</v>
      </c>
      <c r="L141" s="8"/>
    </row>
    <row r="142" spans="1:12" x14ac:dyDescent="0.3">
      <c r="A142" s="10" t="s">
        <v>305</v>
      </c>
      <c r="B142" s="11" t="s">
        <v>42</v>
      </c>
      <c r="C142" s="11" t="s">
        <v>83</v>
      </c>
      <c r="D142" s="11" t="s">
        <v>306</v>
      </c>
      <c r="E142" s="11" t="s">
        <v>24</v>
      </c>
      <c r="F142" s="12">
        <v>45109</v>
      </c>
      <c r="G142" s="12"/>
      <c r="H142" s="13">
        <v>1595</v>
      </c>
      <c r="I142" s="11" t="s">
        <v>37</v>
      </c>
      <c r="J142" s="13">
        <v>3</v>
      </c>
      <c r="K142" s="11" t="s">
        <v>18</v>
      </c>
      <c r="L142" s="13"/>
    </row>
    <row r="143" spans="1:12" x14ac:dyDescent="0.3">
      <c r="A143" s="10" t="s">
        <v>159</v>
      </c>
      <c r="B143" s="11" t="s">
        <v>13</v>
      </c>
      <c r="C143" s="11" t="s">
        <v>160</v>
      </c>
      <c r="D143" s="11" t="str">
        <f>_xlfn.CONCAT("employees.",  RIGHT('Average salary'!$A57, 4), "@jogate.com")</f>
        <v>employees.1158@jogate.com</v>
      </c>
      <c r="E143" s="11" t="s">
        <v>24</v>
      </c>
      <c r="F143" s="12">
        <v>45110</v>
      </c>
      <c r="G143" s="12">
        <v>45298</v>
      </c>
      <c r="H143" s="13">
        <v>312</v>
      </c>
      <c r="I143" s="11" t="s">
        <v>79</v>
      </c>
      <c r="J143" s="13">
        <v>2</v>
      </c>
      <c r="K143" s="11" t="s">
        <v>35</v>
      </c>
      <c r="L143" s="13"/>
    </row>
    <row r="144" spans="1:12" x14ac:dyDescent="0.3">
      <c r="A144" s="5" t="s">
        <v>89</v>
      </c>
      <c r="B144" s="6" t="s">
        <v>27</v>
      </c>
      <c r="C144" s="6" t="s">
        <v>90</v>
      </c>
      <c r="D144" s="6" t="str">
        <f>_xlfn.CONCAT("employees.",  RIGHT('Average salary'!$A26, 4), "@jogate.com")</f>
        <v>employees.1145@jogate.com</v>
      </c>
      <c r="E144" s="6" t="s">
        <v>16</v>
      </c>
      <c r="F144" s="7">
        <v>45159</v>
      </c>
      <c r="G144" s="7"/>
      <c r="H144" s="8">
        <v>746</v>
      </c>
      <c r="I144" s="6" t="s">
        <v>91</v>
      </c>
      <c r="J144" s="8">
        <v>4</v>
      </c>
      <c r="K144" s="6" t="s">
        <v>18</v>
      </c>
      <c r="L144" s="8"/>
    </row>
    <row r="145" spans="1:12" hidden="1" x14ac:dyDescent="0.3">
      <c r="A145" s="5" t="s">
        <v>314</v>
      </c>
      <c r="B145" s="6" t="s">
        <v>31</v>
      </c>
      <c r="C145" s="6" t="s">
        <v>74</v>
      </c>
      <c r="D145" s="6" t="s">
        <v>315</v>
      </c>
      <c r="E145" s="6" t="s">
        <v>34</v>
      </c>
      <c r="F145" s="7">
        <v>45162</v>
      </c>
      <c r="G145" s="7"/>
      <c r="H145" s="8">
        <v>1007</v>
      </c>
      <c r="I145" s="6" t="s">
        <v>94</v>
      </c>
      <c r="J145" s="8">
        <v>2</v>
      </c>
      <c r="K145" s="6" t="s">
        <v>18</v>
      </c>
      <c r="L145" s="8"/>
    </row>
    <row r="146" spans="1:12" hidden="1" x14ac:dyDescent="0.3">
      <c r="A146" s="5" t="s">
        <v>165</v>
      </c>
      <c r="B146" s="6" t="s">
        <v>21</v>
      </c>
      <c r="C146" s="6" t="s">
        <v>22</v>
      </c>
      <c r="D146" s="6" t="s">
        <v>166</v>
      </c>
      <c r="E146" s="6" t="s">
        <v>34</v>
      </c>
      <c r="F146" s="7">
        <v>45174</v>
      </c>
      <c r="G146" s="7"/>
      <c r="H146" s="8">
        <v>1827</v>
      </c>
      <c r="I146" s="6" t="s">
        <v>113</v>
      </c>
      <c r="J146" s="8">
        <v>5</v>
      </c>
      <c r="K146" s="6" t="s">
        <v>18</v>
      </c>
      <c r="L146" s="8"/>
    </row>
    <row r="147" spans="1:12" x14ac:dyDescent="0.3">
      <c r="A147" s="10" t="s">
        <v>39</v>
      </c>
      <c r="B147" s="11" t="s">
        <v>27</v>
      </c>
      <c r="C147" s="11" t="s">
        <v>28</v>
      </c>
      <c r="D147" s="11" t="str">
        <f>_xlfn.CONCAT("employees.",  RIGHT('Average salary'!$A7, 4), "@jogate.com")</f>
        <v>employees.1095@jogate.com</v>
      </c>
      <c r="E147" s="11" t="s">
        <v>24</v>
      </c>
      <c r="F147" s="12">
        <v>45181</v>
      </c>
      <c r="G147" s="12"/>
      <c r="H147" s="13">
        <v>1711</v>
      </c>
      <c r="I147" s="11"/>
      <c r="J147" s="13">
        <v>2</v>
      </c>
      <c r="K147" s="11" t="s">
        <v>18</v>
      </c>
      <c r="L147" s="13"/>
    </row>
    <row r="148" spans="1:12" x14ac:dyDescent="0.3">
      <c r="A148" s="10" t="s">
        <v>281</v>
      </c>
      <c r="B148" s="11" t="s">
        <v>61</v>
      </c>
      <c r="C148" s="11" t="s">
        <v>78</v>
      </c>
      <c r="D148" s="11" t="s">
        <v>282</v>
      </c>
      <c r="E148" s="11" t="s">
        <v>16</v>
      </c>
      <c r="F148" s="12">
        <v>45193</v>
      </c>
      <c r="G148" s="12"/>
      <c r="H148" s="13">
        <v>1207</v>
      </c>
      <c r="I148" s="11" t="s">
        <v>79</v>
      </c>
      <c r="J148" s="13">
        <v>2</v>
      </c>
      <c r="K148" s="11" t="s">
        <v>18</v>
      </c>
      <c r="L148" s="13"/>
    </row>
    <row r="149" spans="1:12" x14ac:dyDescent="0.3">
      <c r="A149" s="10" t="s">
        <v>235</v>
      </c>
      <c r="B149" s="11" t="s">
        <v>61</v>
      </c>
      <c r="C149" s="11" t="s">
        <v>62</v>
      </c>
      <c r="D149" s="11" t="str">
        <f>_xlfn.CONCAT("employees.",  RIGHT('Average salary'!$A103, 4), "@jogate.com")</f>
        <v>employees.1128@jogate.com</v>
      </c>
      <c r="E149" s="11" t="s">
        <v>16</v>
      </c>
      <c r="F149" s="12">
        <v>45198</v>
      </c>
      <c r="G149" s="12"/>
      <c r="H149" s="13">
        <v>502</v>
      </c>
      <c r="I149" s="11" t="s">
        <v>25</v>
      </c>
      <c r="J149" s="13">
        <v>2</v>
      </c>
      <c r="K149" s="11" t="s">
        <v>18</v>
      </c>
      <c r="L149" s="13"/>
    </row>
    <row r="150" spans="1:12" hidden="1" x14ac:dyDescent="0.3">
      <c r="A150" s="10" t="s">
        <v>225</v>
      </c>
      <c r="B150" s="11" t="s">
        <v>21</v>
      </c>
      <c r="C150" s="11" t="s">
        <v>154</v>
      </c>
      <c r="D150" s="11" t="s">
        <v>226</v>
      </c>
      <c r="E150" s="11" t="s">
        <v>34</v>
      </c>
      <c r="F150" s="12">
        <v>45212</v>
      </c>
      <c r="G150" s="12">
        <v>47092</v>
      </c>
      <c r="H150" s="13">
        <v>525</v>
      </c>
      <c r="I150" s="11" t="s">
        <v>128</v>
      </c>
      <c r="J150" s="13">
        <v>4</v>
      </c>
      <c r="K150" s="11" t="s">
        <v>35</v>
      </c>
      <c r="L150" s="13"/>
    </row>
    <row r="151" spans="1:12" hidden="1" x14ac:dyDescent="0.3">
      <c r="A151" s="10" t="s">
        <v>17</v>
      </c>
      <c r="B151" s="11" t="s">
        <v>42</v>
      </c>
      <c r="C151" s="11" t="s">
        <v>122</v>
      </c>
      <c r="D151" s="11" t="s">
        <v>398</v>
      </c>
      <c r="E151" s="11" t="s">
        <v>34</v>
      </c>
      <c r="F151" s="12">
        <v>45216</v>
      </c>
      <c r="G151" s="12"/>
      <c r="H151" s="13">
        <v>775</v>
      </c>
      <c r="I151" s="11"/>
      <c r="J151" s="13">
        <v>5</v>
      </c>
      <c r="K151" s="11" t="s">
        <v>18</v>
      </c>
      <c r="L151" s="13"/>
    </row>
    <row r="152" spans="1:12" hidden="1" x14ac:dyDescent="0.3">
      <c r="A152" s="5" t="s">
        <v>247</v>
      </c>
      <c r="B152" s="6" t="s">
        <v>61</v>
      </c>
      <c r="C152" s="6" t="s">
        <v>62</v>
      </c>
      <c r="D152" s="6" t="s">
        <v>248</v>
      </c>
      <c r="E152" s="6" t="s">
        <v>34</v>
      </c>
      <c r="F152" s="7">
        <v>45219</v>
      </c>
      <c r="G152" s="7"/>
      <c r="H152" s="8">
        <v>2077</v>
      </c>
      <c r="I152" s="6" t="s">
        <v>249</v>
      </c>
      <c r="J152" s="8">
        <v>4</v>
      </c>
      <c r="K152" s="6" t="s">
        <v>18</v>
      </c>
      <c r="L152" s="8"/>
    </row>
    <row r="153" spans="1:12" x14ac:dyDescent="0.3">
      <c r="A153" s="10" t="s">
        <v>57</v>
      </c>
      <c r="B153" s="11" t="s">
        <v>45</v>
      </c>
      <c r="C153" s="11" t="s">
        <v>58</v>
      </c>
      <c r="D153" s="11" t="str">
        <f>_xlfn.CONCAT("employees.",  RIGHT('Average salary'!$A13, 4), "@jogate.com")</f>
        <v>employees.1130@jogate.com</v>
      </c>
      <c r="E153" s="11" t="s">
        <v>24</v>
      </c>
      <c r="F153" s="12">
        <v>45231</v>
      </c>
      <c r="G153" s="12">
        <v>47133</v>
      </c>
      <c r="H153" s="13">
        <v>1423</v>
      </c>
      <c r="I153" s="11" t="s">
        <v>59</v>
      </c>
      <c r="J153" s="13">
        <v>5</v>
      </c>
      <c r="K153" s="11" t="s">
        <v>35</v>
      </c>
      <c r="L153" s="13"/>
    </row>
    <row r="154" spans="1:12" x14ac:dyDescent="0.3">
      <c r="A154" s="10" t="s">
        <v>237</v>
      </c>
      <c r="B154" s="11" t="s">
        <v>99</v>
      </c>
      <c r="C154" s="11" t="s">
        <v>100</v>
      </c>
      <c r="D154" s="11" t="str">
        <f>_xlfn.CONCAT("employees.",  RIGHT('Average salary'!$A105, 4), "@jogate.com")</f>
        <v>employees.1197@jogate.com</v>
      </c>
      <c r="E154" s="11" t="s">
        <v>16</v>
      </c>
      <c r="F154" s="12">
        <v>45236</v>
      </c>
      <c r="G154" s="12">
        <v>45783</v>
      </c>
      <c r="H154" s="13">
        <v>397</v>
      </c>
      <c r="I154" s="11"/>
      <c r="J154" s="13">
        <v>3</v>
      </c>
      <c r="K154" s="11" t="s">
        <v>35</v>
      </c>
      <c r="L154" s="13"/>
    </row>
    <row r="155" spans="1:12" hidden="1" x14ac:dyDescent="0.3">
      <c r="A155" s="10" t="s">
        <v>383</v>
      </c>
      <c r="B155" s="11" t="s">
        <v>27</v>
      </c>
      <c r="C155" s="11" t="s">
        <v>87</v>
      </c>
      <c r="D155" s="11" t="s">
        <v>384</v>
      </c>
      <c r="E155" s="11" t="s">
        <v>34</v>
      </c>
      <c r="F155" s="12">
        <v>45261</v>
      </c>
      <c r="G155" s="12"/>
      <c r="H155" s="13">
        <v>973</v>
      </c>
      <c r="I155" s="11" t="s">
        <v>128</v>
      </c>
      <c r="J155" s="13">
        <v>2</v>
      </c>
      <c r="K155" s="11" t="s">
        <v>18</v>
      </c>
      <c r="L155" s="13"/>
    </row>
    <row r="156" spans="1:12" x14ac:dyDescent="0.3">
      <c r="A156" s="10" t="s">
        <v>196</v>
      </c>
      <c r="B156" s="11" t="s">
        <v>21</v>
      </c>
      <c r="C156" s="11" t="s">
        <v>133</v>
      </c>
      <c r="D156" s="11" t="s">
        <v>197</v>
      </c>
      <c r="E156" s="11" t="s">
        <v>24</v>
      </c>
      <c r="F156" s="12">
        <v>45282</v>
      </c>
      <c r="G156" s="12"/>
      <c r="H156" s="13">
        <v>831</v>
      </c>
      <c r="I156" s="11" t="s">
        <v>107</v>
      </c>
      <c r="J156" s="13">
        <v>4</v>
      </c>
      <c r="K156" s="11" t="s">
        <v>18</v>
      </c>
      <c r="L156" s="13"/>
    </row>
    <row r="157" spans="1:12" hidden="1" x14ac:dyDescent="0.3">
      <c r="A157" s="5" t="s">
        <v>169</v>
      </c>
      <c r="B157" s="6" t="s">
        <v>13</v>
      </c>
      <c r="C157" s="6" t="s">
        <v>160</v>
      </c>
      <c r="D157" s="6" t="s">
        <v>170</v>
      </c>
      <c r="E157" s="6" t="s">
        <v>34</v>
      </c>
      <c r="F157" s="7">
        <v>45290</v>
      </c>
      <c r="G157" s="7"/>
      <c r="H157" s="8">
        <v>910</v>
      </c>
      <c r="I157" s="6" t="s">
        <v>171</v>
      </c>
      <c r="J157" s="8">
        <v>2</v>
      </c>
      <c r="K157" s="6" t="s">
        <v>18</v>
      </c>
      <c r="L157" s="8"/>
    </row>
    <row r="158" spans="1:12" x14ac:dyDescent="0.3">
      <c r="A158" s="5" t="s">
        <v>256</v>
      </c>
      <c r="B158" s="6" t="s">
        <v>45</v>
      </c>
      <c r="C158" s="6" t="s">
        <v>58</v>
      </c>
      <c r="D158" s="6" t="s">
        <v>257</v>
      </c>
      <c r="E158" s="6" t="s">
        <v>24</v>
      </c>
      <c r="F158" s="7">
        <v>45326</v>
      </c>
      <c r="G158" s="7"/>
      <c r="H158" s="8">
        <v>1522</v>
      </c>
      <c r="I158" s="6" t="s">
        <v>59</v>
      </c>
      <c r="J158" s="8">
        <v>5</v>
      </c>
      <c r="K158" s="6" t="s">
        <v>18</v>
      </c>
      <c r="L158" s="8"/>
    </row>
    <row r="159" spans="1:12" x14ac:dyDescent="0.3">
      <c r="A159" s="5" t="s">
        <v>173</v>
      </c>
      <c r="B159" s="6" t="s">
        <v>99</v>
      </c>
      <c r="C159" s="6" t="s">
        <v>138</v>
      </c>
      <c r="D159" s="6" t="s">
        <v>174</v>
      </c>
      <c r="E159" s="6" t="s">
        <v>24</v>
      </c>
      <c r="F159" s="7">
        <v>45336</v>
      </c>
      <c r="G159" s="7"/>
      <c r="H159" s="8">
        <v>956</v>
      </c>
      <c r="I159" s="6" t="s">
        <v>79</v>
      </c>
      <c r="J159" s="8">
        <v>3</v>
      </c>
      <c r="K159" s="6" t="s">
        <v>18</v>
      </c>
      <c r="L159" s="8"/>
    </row>
    <row r="160" spans="1:12" x14ac:dyDescent="0.3">
      <c r="A160" s="5" t="s">
        <v>76</v>
      </c>
      <c r="B160" s="6" t="s">
        <v>45</v>
      </c>
      <c r="C160" s="6" t="s">
        <v>97</v>
      </c>
      <c r="D160" s="6" t="str">
        <f>_xlfn.CONCAT("employees.",  RIGHT('Average salary'!$A30, 4), "@jogate.com")</f>
        <v>employees.1136@jogate.com</v>
      </c>
      <c r="E160" s="6" t="s">
        <v>24</v>
      </c>
      <c r="F160" s="7">
        <v>45350</v>
      </c>
      <c r="G160" s="7"/>
      <c r="H160" s="8">
        <v>625</v>
      </c>
      <c r="I160" s="6"/>
      <c r="J160" s="8">
        <v>2</v>
      </c>
      <c r="K160" s="6" t="s">
        <v>18</v>
      </c>
      <c r="L160" s="8"/>
    </row>
    <row r="161" spans="1:12" x14ac:dyDescent="0.3">
      <c r="A161" s="5" t="s">
        <v>180</v>
      </c>
      <c r="B161" s="6" t="s">
        <v>31</v>
      </c>
      <c r="C161" s="6" t="s">
        <v>74</v>
      </c>
      <c r="D161" s="6" t="s">
        <v>181</v>
      </c>
      <c r="E161" s="6" t="s">
        <v>24</v>
      </c>
      <c r="F161" s="7">
        <v>45354</v>
      </c>
      <c r="G161" s="7"/>
      <c r="H161" s="8">
        <v>678</v>
      </c>
      <c r="I161" s="6" t="s">
        <v>91</v>
      </c>
      <c r="J161" s="8">
        <v>4</v>
      </c>
      <c r="K161" s="6" t="s">
        <v>18</v>
      </c>
      <c r="L161" s="8"/>
    </row>
    <row r="162" spans="1:12" x14ac:dyDescent="0.3">
      <c r="A162" s="10" t="s">
        <v>401</v>
      </c>
      <c r="B162" s="11" t="s">
        <v>31</v>
      </c>
      <c r="C162" s="11" t="s">
        <v>74</v>
      </c>
      <c r="D162" s="11" t="s">
        <v>402</v>
      </c>
      <c r="E162" s="11" t="s">
        <v>24</v>
      </c>
      <c r="F162" s="12">
        <v>45356</v>
      </c>
      <c r="G162" s="12"/>
      <c r="H162" s="13">
        <v>1658</v>
      </c>
      <c r="I162" s="11" t="s">
        <v>146</v>
      </c>
      <c r="J162" s="13">
        <v>3</v>
      </c>
      <c r="K162" s="11" t="s">
        <v>18</v>
      </c>
      <c r="L162" s="13"/>
    </row>
    <row r="163" spans="1:12" x14ac:dyDescent="0.3">
      <c r="A163" s="5" t="s">
        <v>283</v>
      </c>
      <c r="B163" s="6" t="s">
        <v>61</v>
      </c>
      <c r="C163" s="6" t="s">
        <v>78</v>
      </c>
      <c r="D163" s="6" t="s">
        <v>284</v>
      </c>
      <c r="E163" s="6" t="s">
        <v>24</v>
      </c>
      <c r="F163" s="7">
        <v>45368</v>
      </c>
      <c r="G163" s="7"/>
      <c r="H163" s="8">
        <v>1405</v>
      </c>
      <c r="I163" s="6" t="s">
        <v>12</v>
      </c>
      <c r="J163" s="8">
        <v>2</v>
      </c>
      <c r="K163" s="6" t="s">
        <v>18</v>
      </c>
      <c r="L163" s="8"/>
    </row>
    <row r="164" spans="1:12" x14ac:dyDescent="0.3">
      <c r="A164" s="10" t="s">
        <v>115</v>
      </c>
      <c r="B164" s="11" t="s">
        <v>31</v>
      </c>
      <c r="C164" s="11" t="s">
        <v>74</v>
      </c>
      <c r="D164" s="11" t="str">
        <f>_xlfn.CONCAT("employees.",  RIGHT('Average salary'!$A37, 4), "@jogate.com")</f>
        <v>employees.1134@jogate.com</v>
      </c>
      <c r="E164" s="11" t="s">
        <v>24</v>
      </c>
      <c r="F164" s="12">
        <v>45371</v>
      </c>
      <c r="G164" s="12">
        <v>45843</v>
      </c>
      <c r="H164" s="13">
        <v>1411</v>
      </c>
      <c r="I164" s="11" t="s">
        <v>88</v>
      </c>
      <c r="J164" s="13">
        <v>2</v>
      </c>
      <c r="K164" s="11" t="s">
        <v>35</v>
      </c>
      <c r="L164" s="13"/>
    </row>
    <row r="165" spans="1:12" hidden="1" x14ac:dyDescent="0.3">
      <c r="A165" s="5" t="s">
        <v>80</v>
      </c>
      <c r="B165" s="6" t="s">
        <v>21</v>
      </c>
      <c r="C165" s="6" t="s">
        <v>22</v>
      </c>
      <c r="D165" s="6" t="str">
        <f>_xlfn.CONCAT("employees.",  RIGHT('Average salary'!$A22, 4), "@jogate.com")</f>
        <v>employees.1135@jogate.com</v>
      </c>
      <c r="E165" s="6" t="s">
        <v>34</v>
      </c>
      <c r="F165" s="7">
        <v>45376</v>
      </c>
      <c r="G165" s="7"/>
      <c r="H165" s="8">
        <v>985</v>
      </c>
      <c r="I165" s="6" t="s">
        <v>81</v>
      </c>
      <c r="J165" s="8">
        <v>5</v>
      </c>
      <c r="K165" s="6" t="s">
        <v>18</v>
      </c>
      <c r="L165" s="8"/>
    </row>
    <row r="166" spans="1:12" x14ac:dyDescent="0.3">
      <c r="A166" s="10" t="s">
        <v>191</v>
      </c>
      <c r="B166" s="11" t="s">
        <v>27</v>
      </c>
      <c r="C166" s="11" t="s">
        <v>87</v>
      </c>
      <c r="D166" s="11" t="str">
        <f>_xlfn.CONCAT("employees.",  RIGHT('Average salary'!$A77, 4), "@jogate.com")</f>
        <v>employees.1005@jogate.com</v>
      </c>
      <c r="E166" s="11" t="s">
        <v>24</v>
      </c>
      <c r="F166" s="12">
        <v>45386</v>
      </c>
      <c r="G166" s="12">
        <v>46992</v>
      </c>
      <c r="H166" s="13">
        <v>302</v>
      </c>
      <c r="I166" s="11" t="s">
        <v>12</v>
      </c>
      <c r="J166" s="13">
        <v>2</v>
      </c>
      <c r="K166" s="11" t="s">
        <v>35</v>
      </c>
      <c r="L166" s="13"/>
    </row>
    <row r="167" spans="1:12" x14ac:dyDescent="0.3">
      <c r="A167" s="10" t="s">
        <v>230</v>
      </c>
      <c r="B167" s="11" t="s">
        <v>13</v>
      </c>
      <c r="C167" s="11" t="s">
        <v>14</v>
      </c>
      <c r="D167" s="11" t="str">
        <f>_xlfn.CONCAT("employees.",  RIGHT('Average salary'!$A109, 4), "@jogate.com")</f>
        <v>employees.1008@jogate.com</v>
      </c>
      <c r="E167" s="11" t="s">
        <v>24</v>
      </c>
      <c r="F167" s="12">
        <v>45399</v>
      </c>
      <c r="G167" s="12"/>
      <c r="H167" s="13">
        <v>735</v>
      </c>
      <c r="I167" s="11" t="s">
        <v>171</v>
      </c>
      <c r="J167" s="13">
        <v>3</v>
      </c>
      <c r="K167" s="11" t="s">
        <v>18</v>
      </c>
      <c r="L167" s="13"/>
    </row>
    <row r="168" spans="1:12" x14ac:dyDescent="0.3">
      <c r="A168" s="10" t="s">
        <v>49</v>
      </c>
      <c r="B168" s="11" t="s">
        <v>50</v>
      </c>
      <c r="C168" s="11" t="s">
        <v>51</v>
      </c>
      <c r="D168" s="11" t="s">
        <v>52</v>
      </c>
      <c r="E168" s="11" t="s">
        <v>24</v>
      </c>
      <c r="F168" s="12">
        <v>45411</v>
      </c>
      <c r="G168" s="12"/>
      <c r="H168" s="13">
        <v>1699</v>
      </c>
      <c r="I168" s="11" t="s">
        <v>53</v>
      </c>
      <c r="J168" s="13">
        <v>2</v>
      </c>
      <c r="K168" s="11" t="s">
        <v>18</v>
      </c>
      <c r="L168" s="13"/>
    </row>
    <row r="169" spans="1:12" x14ac:dyDescent="0.3">
      <c r="A169" s="5" t="s">
        <v>114</v>
      </c>
      <c r="B169" s="6" t="s">
        <v>42</v>
      </c>
      <c r="C169" s="6" t="s">
        <v>83</v>
      </c>
      <c r="D169" s="6" t="str">
        <f>_xlfn.CONCAT("employees.",  RIGHT('Average salary'!$A36, 4), "@jogate.com")</f>
        <v>employees.1093@jogate.com</v>
      </c>
      <c r="E169" s="6" t="s">
        <v>24</v>
      </c>
      <c r="F169" s="7">
        <v>45417</v>
      </c>
      <c r="G169" s="7"/>
      <c r="H169" s="8">
        <v>404</v>
      </c>
      <c r="I169" s="6" t="s">
        <v>76</v>
      </c>
      <c r="J169" s="8">
        <v>2</v>
      </c>
      <c r="K169" s="6" t="s">
        <v>18</v>
      </c>
      <c r="L169" s="8"/>
    </row>
    <row r="170" spans="1:12" x14ac:dyDescent="0.3">
      <c r="A170" s="10" t="s">
        <v>111</v>
      </c>
      <c r="B170" s="11" t="s">
        <v>50</v>
      </c>
      <c r="C170" s="11" t="s">
        <v>70</v>
      </c>
      <c r="D170" s="11" t="s">
        <v>112</v>
      </c>
      <c r="E170" s="11" t="s">
        <v>24</v>
      </c>
      <c r="F170" s="12">
        <v>45421</v>
      </c>
      <c r="G170" s="12"/>
      <c r="H170" s="13">
        <v>1820</v>
      </c>
      <c r="I170" s="11" t="s">
        <v>113</v>
      </c>
      <c r="J170" s="13">
        <v>2</v>
      </c>
      <c r="K170" s="11" t="s">
        <v>18</v>
      </c>
      <c r="L170" s="13"/>
    </row>
    <row r="171" spans="1:12" x14ac:dyDescent="0.3">
      <c r="A171" s="5" t="s">
        <v>161</v>
      </c>
      <c r="B171" s="6" t="s">
        <v>21</v>
      </c>
      <c r="C171" s="6" t="s">
        <v>154</v>
      </c>
      <c r="D171" s="6" t="str">
        <f>_xlfn.CONCAT("employees.",  RIGHT('Average salary'!$A58, 4), "@jogate.com")</f>
        <v>employees.1178@jogate.com</v>
      </c>
      <c r="E171" s="6" t="s">
        <v>24</v>
      </c>
      <c r="F171" s="7">
        <v>45437</v>
      </c>
      <c r="G171" s="7"/>
      <c r="H171" s="8">
        <v>523</v>
      </c>
      <c r="I171" s="6" t="s">
        <v>113</v>
      </c>
      <c r="J171" s="8">
        <v>3</v>
      </c>
      <c r="K171" s="6" t="s">
        <v>18</v>
      </c>
      <c r="L171" s="8"/>
    </row>
    <row r="172" spans="1:12" x14ac:dyDescent="0.3">
      <c r="A172" s="10" t="s">
        <v>130</v>
      </c>
      <c r="B172" s="11" t="s">
        <v>27</v>
      </c>
      <c r="C172" s="11" t="s">
        <v>28</v>
      </c>
      <c r="D172" s="11" t="s">
        <v>131</v>
      </c>
      <c r="E172" s="11" t="s">
        <v>24</v>
      </c>
      <c r="F172" s="12">
        <v>45454</v>
      </c>
      <c r="G172" s="12"/>
      <c r="H172" s="13">
        <v>1687</v>
      </c>
      <c r="I172" s="11"/>
      <c r="J172" s="13">
        <v>5</v>
      </c>
      <c r="K172" s="11" t="s">
        <v>18</v>
      </c>
      <c r="L172" s="13"/>
    </row>
    <row r="173" spans="1:12" x14ac:dyDescent="0.3">
      <c r="A173" s="5" t="s">
        <v>370</v>
      </c>
      <c r="B173" s="6" t="s">
        <v>27</v>
      </c>
      <c r="C173" s="6" t="s">
        <v>28</v>
      </c>
      <c r="D173" s="6" t="s">
        <v>371</v>
      </c>
      <c r="E173" s="6" t="s">
        <v>16</v>
      </c>
      <c r="F173" s="7">
        <v>45454</v>
      </c>
      <c r="G173" s="7"/>
      <c r="H173" s="8">
        <v>1867</v>
      </c>
      <c r="I173" s="6"/>
      <c r="J173" s="8">
        <v>5</v>
      </c>
      <c r="K173" s="6" t="s">
        <v>18</v>
      </c>
      <c r="L173" s="8"/>
    </row>
    <row r="174" spans="1:12" x14ac:dyDescent="0.3">
      <c r="A174" s="10" t="s">
        <v>228</v>
      </c>
      <c r="B174" s="11" t="s">
        <v>45</v>
      </c>
      <c r="C174" s="11" t="s">
        <v>46</v>
      </c>
      <c r="D174" s="11" t="s">
        <v>229</v>
      </c>
      <c r="E174" s="11" t="s">
        <v>24</v>
      </c>
      <c r="F174" s="12">
        <v>45463</v>
      </c>
      <c r="G174" s="12"/>
      <c r="H174" s="13">
        <v>506</v>
      </c>
      <c r="I174" s="11" t="s">
        <v>230</v>
      </c>
      <c r="J174" s="13">
        <v>2</v>
      </c>
      <c r="K174" s="11" t="s">
        <v>18</v>
      </c>
      <c r="L174" s="13"/>
    </row>
    <row r="175" spans="1:12" hidden="1" x14ac:dyDescent="0.3">
      <c r="A175" s="10" t="s">
        <v>164</v>
      </c>
      <c r="B175" s="11" t="s">
        <v>31</v>
      </c>
      <c r="C175" s="11" t="s">
        <v>32</v>
      </c>
      <c r="D175" s="11" t="str">
        <f>_xlfn.CONCAT("employees.",  RIGHT('Average salary'!$A61, 4), "@jogate.com")</f>
        <v>employees.1089@jogate.com</v>
      </c>
      <c r="E175" s="11" t="s">
        <v>34</v>
      </c>
      <c r="F175" s="12">
        <v>45472</v>
      </c>
      <c r="G175" s="12"/>
      <c r="H175" s="13">
        <v>1182</v>
      </c>
      <c r="I175" s="11"/>
      <c r="J175" s="13">
        <v>3</v>
      </c>
      <c r="K175" s="11" t="s">
        <v>18</v>
      </c>
      <c r="L175" s="13"/>
    </row>
    <row r="176" spans="1:12" x14ac:dyDescent="0.3">
      <c r="A176" s="5" t="s">
        <v>94</v>
      </c>
      <c r="B176" s="6" t="s">
        <v>31</v>
      </c>
      <c r="C176" s="6" t="s">
        <v>32</v>
      </c>
      <c r="D176" s="6" t="str">
        <f>_xlfn.CONCAT("employees.",  RIGHT('Average salary'!$A28, 4), "@jogate.com")</f>
        <v>employees.1020@jogate.com</v>
      </c>
      <c r="E176" s="6" t="s">
        <v>24</v>
      </c>
      <c r="F176" s="7">
        <v>45492</v>
      </c>
      <c r="G176" s="7">
        <v>47312</v>
      </c>
      <c r="H176" s="8">
        <v>1907</v>
      </c>
      <c r="I176" s="6"/>
      <c r="J176" s="8">
        <v>4</v>
      </c>
      <c r="K176" s="6" t="s">
        <v>35</v>
      </c>
      <c r="L176" s="8"/>
    </row>
    <row r="177" spans="1:12" hidden="1" x14ac:dyDescent="0.3">
      <c r="A177" s="5" t="s">
        <v>272</v>
      </c>
      <c r="B177" s="6" t="s">
        <v>61</v>
      </c>
      <c r="C177" s="6" t="s">
        <v>62</v>
      </c>
      <c r="D177" s="6" t="s">
        <v>273</v>
      </c>
      <c r="E177" s="6" t="s">
        <v>34</v>
      </c>
      <c r="F177" s="7">
        <v>45503</v>
      </c>
      <c r="G177" s="7"/>
      <c r="H177" s="8">
        <v>498</v>
      </c>
      <c r="I177" s="6" t="s">
        <v>17</v>
      </c>
      <c r="J177" s="8">
        <v>2</v>
      </c>
      <c r="K177" s="6" t="s">
        <v>18</v>
      </c>
      <c r="L177" s="8"/>
    </row>
    <row r="178" spans="1:12" x14ac:dyDescent="0.3">
      <c r="A178" s="10" t="s">
        <v>365</v>
      </c>
      <c r="B178" s="11" t="s">
        <v>42</v>
      </c>
      <c r="C178" s="11" t="s">
        <v>83</v>
      </c>
      <c r="D178" s="11" t="s">
        <v>366</v>
      </c>
      <c r="E178" s="11" t="s">
        <v>16</v>
      </c>
      <c r="F178" s="12">
        <v>45512</v>
      </c>
      <c r="G178" s="12"/>
      <c r="H178" s="13">
        <v>1056</v>
      </c>
      <c r="I178" s="11" t="s">
        <v>117</v>
      </c>
      <c r="J178" s="13">
        <v>2</v>
      </c>
      <c r="K178" s="11" t="s">
        <v>18</v>
      </c>
      <c r="L178" s="13"/>
    </row>
    <row r="179" spans="1:12" hidden="1" x14ac:dyDescent="0.3">
      <c r="A179" s="10" t="s">
        <v>186</v>
      </c>
      <c r="B179" s="11" t="s">
        <v>50</v>
      </c>
      <c r="C179" s="11" t="s">
        <v>51</v>
      </c>
      <c r="D179" s="11" t="s">
        <v>187</v>
      </c>
      <c r="E179" s="11" t="s">
        <v>34</v>
      </c>
      <c r="F179" s="12">
        <v>45515</v>
      </c>
      <c r="G179" s="12">
        <v>45785</v>
      </c>
      <c r="H179" s="13">
        <v>720</v>
      </c>
      <c r="I179" s="11" t="s">
        <v>98</v>
      </c>
      <c r="J179" s="13">
        <v>3</v>
      </c>
      <c r="K179" s="11" t="s">
        <v>35</v>
      </c>
      <c r="L179" s="13"/>
    </row>
    <row r="180" spans="1:12" x14ac:dyDescent="0.3">
      <c r="A180" s="5" t="s">
        <v>116</v>
      </c>
      <c r="B180" s="6" t="s">
        <v>27</v>
      </c>
      <c r="C180" s="6" t="s">
        <v>87</v>
      </c>
      <c r="D180" s="6" t="str">
        <f>_xlfn.CONCAT("employees.",  RIGHT('Average salary'!$A38, 4), "@jogate.com")</f>
        <v>employees.1147@jogate.com</v>
      </c>
      <c r="E180" s="6" t="s">
        <v>16</v>
      </c>
      <c r="F180" s="7">
        <v>45549</v>
      </c>
      <c r="G180" s="7"/>
      <c r="H180" s="8">
        <v>1886</v>
      </c>
      <c r="I180" s="6" t="s">
        <v>17</v>
      </c>
      <c r="J180" s="8">
        <v>5</v>
      </c>
      <c r="K180" s="6" t="s">
        <v>18</v>
      </c>
      <c r="L180" s="8"/>
    </row>
    <row r="181" spans="1:12" x14ac:dyDescent="0.3">
      <c r="A181" s="5" t="s">
        <v>300</v>
      </c>
      <c r="B181" s="6" t="s">
        <v>27</v>
      </c>
      <c r="C181" s="6" t="s">
        <v>90</v>
      </c>
      <c r="D181" s="6" t="s">
        <v>301</v>
      </c>
      <c r="E181" s="6" t="s">
        <v>16</v>
      </c>
      <c r="F181" s="7">
        <v>45581</v>
      </c>
      <c r="G181" s="7"/>
      <c r="H181" s="8">
        <v>529</v>
      </c>
      <c r="I181" s="6" t="s">
        <v>64</v>
      </c>
      <c r="J181" s="8">
        <v>3</v>
      </c>
      <c r="K181" s="6" t="s">
        <v>18</v>
      </c>
      <c r="L181" s="8"/>
    </row>
    <row r="182" spans="1:12" hidden="1" x14ac:dyDescent="0.3">
      <c r="A182" s="5" t="s">
        <v>93</v>
      </c>
      <c r="B182" s="6" t="s">
        <v>45</v>
      </c>
      <c r="C182" s="6" t="s">
        <v>97</v>
      </c>
      <c r="D182" s="6" t="s">
        <v>227</v>
      </c>
      <c r="E182" s="6" t="s">
        <v>34</v>
      </c>
      <c r="F182" s="7">
        <v>45584</v>
      </c>
      <c r="G182" s="7"/>
      <c r="H182" s="8">
        <v>1787</v>
      </c>
      <c r="I182" s="6"/>
      <c r="J182" s="8">
        <v>5</v>
      </c>
      <c r="K182" s="6" t="s">
        <v>18</v>
      </c>
      <c r="L182" s="8"/>
    </row>
    <row r="183" spans="1:12" x14ac:dyDescent="0.3">
      <c r="A183" s="5" t="s">
        <v>236</v>
      </c>
      <c r="B183" s="6" t="s">
        <v>13</v>
      </c>
      <c r="C183" s="6" t="s">
        <v>14</v>
      </c>
      <c r="D183" s="6" t="str">
        <f>_xlfn.CONCAT("employees.",  RIGHT('Average salary'!$A104, 4), "@jogate.com")</f>
        <v>employees.1091@jogate.com</v>
      </c>
      <c r="E183" s="6" t="s">
        <v>24</v>
      </c>
      <c r="F183" s="7">
        <v>45626</v>
      </c>
      <c r="G183" s="7"/>
      <c r="H183" s="8">
        <v>1711</v>
      </c>
      <c r="I183" s="6" t="s">
        <v>210</v>
      </c>
      <c r="J183" s="8">
        <v>5</v>
      </c>
      <c r="K183" s="6" t="s">
        <v>18</v>
      </c>
      <c r="L183" s="8"/>
    </row>
    <row r="184" spans="1:12" x14ac:dyDescent="0.3">
      <c r="A184" s="5" t="s">
        <v>190</v>
      </c>
      <c r="B184" s="6" t="s">
        <v>21</v>
      </c>
      <c r="C184" s="6" t="s">
        <v>22</v>
      </c>
      <c r="D184" s="6" t="str">
        <f>_xlfn.CONCAT("employees.",  RIGHT('Average salary'!$A76, 4), "@jogate.com")</f>
        <v>employees.1165@jogate.com</v>
      </c>
      <c r="E184" s="6" t="s">
        <v>24</v>
      </c>
      <c r="F184" s="7">
        <v>45704</v>
      </c>
      <c r="G184" s="7"/>
      <c r="H184" s="8">
        <v>352</v>
      </c>
      <c r="I184" s="6" t="s">
        <v>17</v>
      </c>
      <c r="J184" s="8">
        <v>3</v>
      </c>
      <c r="K184" s="6" t="s">
        <v>18</v>
      </c>
      <c r="L184" s="8"/>
    </row>
    <row r="185" spans="1:12" hidden="1" x14ac:dyDescent="0.3">
      <c r="A185" s="10" t="s">
        <v>379</v>
      </c>
      <c r="B185" s="11" t="s">
        <v>13</v>
      </c>
      <c r="C185" s="11" t="s">
        <v>264</v>
      </c>
      <c r="D185" s="11" t="s">
        <v>380</v>
      </c>
      <c r="E185" s="11" t="s">
        <v>34</v>
      </c>
      <c r="F185" s="12">
        <v>45731</v>
      </c>
      <c r="G185" s="12"/>
      <c r="H185" s="13">
        <v>1471</v>
      </c>
      <c r="I185" s="11" t="s">
        <v>146</v>
      </c>
      <c r="J185" s="13">
        <v>5</v>
      </c>
      <c r="K185" s="11" t="s">
        <v>18</v>
      </c>
      <c r="L185" s="13"/>
    </row>
    <row r="186" spans="1:12" x14ac:dyDescent="0.3">
      <c r="A186" s="5" t="s">
        <v>158</v>
      </c>
      <c r="B186" s="6" t="s">
        <v>45</v>
      </c>
      <c r="C186" s="6" t="s">
        <v>46</v>
      </c>
      <c r="D186" s="6" t="str">
        <f>_xlfn.CONCAT("employees.",  RIGHT('Average salary'!$A56, 4), "@jogate.com")</f>
        <v>employees.1088@jogate.com</v>
      </c>
      <c r="E186" s="6" t="s">
        <v>24</v>
      </c>
      <c r="F186" s="7">
        <v>45750</v>
      </c>
      <c r="G186" s="7"/>
      <c r="H186" s="8">
        <v>915</v>
      </c>
      <c r="I186" s="6" t="s">
        <v>79</v>
      </c>
      <c r="J186" s="8">
        <v>5</v>
      </c>
      <c r="K186" s="6" t="s">
        <v>18</v>
      </c>
      <c r="L186" s="8"/>
    </row>
    <row r="187" spans="1:12" x14ac:dyDescent="0.3">
      <c r="A187" s="10" t="s">
        <v>88</v>
      </c>
      <c r="B187" s="11" t="s">
        <v>13</v>
      </c>
      <c r="C187" s="11" t="s">
        <v>14</v>
      </c>
      <c r="D187" s="11" t="s">
        <v>258</v>
      </c>
      <c r="E187" s="11" t="s">
        <v>16</v>
      </c>
      <c r="F187" s="12">
        <v>45751</v>
      </c>
      <c r="G187" s="12"/>
      <c r="H187" s="13">
        <v>1919</v>
      </c>
      <c r="I187" s="11" t="s">
        <v>79</v>
      </c>
      <c r="J187" s="13">
        <v>3</v>
      </c>
      <c r="K187" s="11" t="s">
        <v>18</v>
      </c>
      <c r="L187" s="13"/>
    </row>
    <row r="188" spans="1:12" x14ac:dyDescent="0.3">
      <c r="A188" s="5" t="s">
        <v>148</v>
      </c>
      <c r="B188" s="6" t="s">
        <v>61</v>
      </c>
      <c r="C188" s="6" t="s">
        <v>62</v>
      </c>
      <c r="D188" s="6" t="s">
        <v>149</v>
      </c>
      <c r="E188" s="6" t="s">
        <v>16</v>
      </c>
      <c r="F188" s="7">
        <v>45754</v>
      </c>
      <c r="G188" s="7"/>
      <c r="H188" s="8">
        <v>1192</v>
      </c>
      <c r="I188" s="6" t="s">
        <v>150</v>
      </c>
      <c r="J188" s="8">
        <v>4</v>
      </c>
      <c r="K188" s="6" t="s">
        <v>18</v>
      </c>
      <c r="L188" s="8"/>
    </row>
    <row r="189" spans="1:12" hidden="1" x14ac:dyDescent="0.3">
      <c r="A189" s="10" t="s">
        <v>121</v>
      </c>
      <c r="B189" s="11" t="s">
        <v>42</v>
      </c>
      <c r="C189" s="11" t="s">
        <v>122</v>
      </c>
      <c r="D189" s="11" t="s">
        <v>123</v>
      </c>
      <c r="E189" s="11" t="s">
        <v>34</v>
      </c>
      <c r="F189" s="12">
        <v>45767</v>
      </c>
      <c r="G189" s="12"/>
      <c r="H189" s="13">
        <v>1144</v>
      </c>
      <c r="I189" s="11"/>
      <c r="J189" s="13">
        <v>3</v>
      </c>
      <c r="K189" s="11" t="s">
        <v>18</v>
      </c>
      <c r="L189" s="13"/>
    </row>
    <row r="190" spans="1:12" x14ac:dyDescent="0.3">
      <c r="A190" s="5" t="s">
        <v>60</v>
      </c>
      <c r="B190" s="6" t="s">
        <v>61</v>
      </c>
      <c r="C190" s="6" t="s">
        <v>62</v>
      </c>
      <c r="D190" s="6" t="s">
        <v>63</v>
      </c>
      <c r="E190" s="6" t="s">
        <v>24</v>
      </c>
      <c r="F190" s="7">
        <v>45770</v>
      </c>
      <c r="G190" s="7"/>
      <c r="H190" s="8">
        <v>1524</v>
      </c>
      <c r="I190" s="6" t="s">
        <v>64</v>
      </c>
      <c r="J190" s="8">
        <v>3</v>
      </c>
      <c r="K190" s="6" t="s">
        <v>18</v>
      </c>
      <c r="L190" s="8"/>
    </row>
    <row r="191" spans="1:12" hidden="1" x14ac:dyDescent="0.3">
      <c r="A191" s="5" t="s">
        <v>238</v>
      </c>
      <c r="B191" s="6" t="s">
        <v>61</v>
      </c>
      <c r="C191" s="6" t="s">
        <v>78</v>
      </c>
      <c r="D191" s="6" t="str">
        <f>_xlfn.CONCAT("employees.",  RIGHT('Average salary'!$A106, 4), "@jogate.com")</f>
        <v>employees.1118@jogate.com</v>
      </c>
      <c r="E191" s="6" t="s">
        <v>34</v>
      </c>
      <c r="F191" s="7">
        <v>45771</v>
      </c>
      <c r="G191" s="7"/>
      <c r="H191" s="8">
        <v>1985</v>
      </c>
      <c r="I191" s="6" t="s">
        <v>96</v>
      </c>
      <c r="J191" s="8">
        <v>3</v>
      </c>
      <c r="K191" s="6" t="s">
        <v>18</v>
      </c>
      <c r="L191" s="8"/>
    </row>
    <row r="192" spans="1:12" x14ac:dyDescent="0.3">
      <c r="A192" s="10" t="s">
        <v>216</v>
      </c>
      <c r="B192" s="11" t="s">
        <v>45</v>
      </c>
      <c r="C192" s="11" t="s">
        <v>58</v>
      </c>
      <c r="D192" s="11" t="s">
        <v>217</v>
      </c>
      <c r="E192" s="11" t="s">
        <v>24</v>
      </c>
      <c r="F192" s="12">
        <v>45773</v>
      </c>
      <c r="G192" s="12">
        <v>46809</v>
      </c>
      <c r="H192" s="13">
        <v>1097</v>
      </c>
      <c r="I192" s="11" t="s">
        <v>88</v>
      </c>
      <c r="J192" s="13">
        <v>2</v>
      </c>
      <c r="K192" s="11" t="s">
        <v>35</v>
      </c>
      <c r="L192" s="13"/>
    </row>
    <row r="193" spans="1:12" x14ac:dyDescent="0.3">
      <c r="A193" s="5" t="s">
        <v>143</v>
      </c>
      <c r="B193" s="6" t="s">
        <v>31</v>
      </c>
      <c r="C193" s="6" t="s">
        <v>74</v>
      </c>
      <c r="D193" s="6" t="s">
        <v>144</v>
      </c>
      <c r="E193" s="6" t="s">
        <v>24</v>
      </c>
      <c r="F193" s="7">
        <v>45785</v>
      </c>
      <c r="G193" s="7"/>
      <c r="H193" s="8">
        <v>1798</v>
      </c>
      <c r="I193" s="6" t="s">
        <v>145</v>
      </c>
      <c r="J193" s="8">
        <v>2</v>
      </c>
      <c r="K193" s="6" t="s">
        <v>18</v>
      </c>
      <c r="L193" s="8"/>
    </row>
    <row r="194" spans="1:12" x14ac:dyDescent="0.3">
      <c r="A194" s="5" t="s">
        <v>259</v>
      </c>
      <c r="B194" s="6" t="s">
        <v>21</v>
      </c>
      <c r="C194" s="6" t="s">
        <v>22</v>
      </c>
      <c r="D194" s="6" t="s">
        <v>260</v>
      </c>
      <c r="E194" s="6" t="s">
        <v>24</v>
      </c>
      <c r="F194" s="7">
        <v>45805</v>
      </c>
      <c r="G194" s="7"/>
      <c r="H194" s="8">
        <v>1677</v>
      </c>
      <c r="I194" s="6" t="s">
        <v>141</v>
      </c>
      <c r="J194" s="8">
        <v>4</v>
      </c>
      <c r="K194" s="6" t="s">
        <v>18</v>
      </c>
      <c r="L194" s="8"/>
    </row>
    <row r="195" spans="1:12" hidden="1" x14ac:dyDescent="0.3">
      <c r="A195" s="10" t="s">
        <v>208</v>
      </c>
      <c r="B195" s="11" t="s">
        <v>61</v>
      </c>
      <c r="C195" s="11" t="s">
        <v>62</v>
      </c>
      <c r="D195" s="11" t="s">
        <v>209</v>
      </c>
      <c r="E195" s="11" t="s">
        <v>34</v>
      </c>
      <c r="F195" s="12">
        <v>45831</v>
      </c>
      <c r="G195" s="12"/>
      <c r="H195" s="13">
        <v>1699</v>
      </c>
      <c r="I195" s="11" t="s">
        <v>210</v>
      </c>
      <c r="J195" s="13">
        <v>2</v>
      </c>
      <c r="K195" s="11" t="s">
        <v>18</v>
      </c>
      <c r="L195" s="13"/>
    </row>
    <row r="196" spans="1:12" hidden="1" x14ac:dyDescent="0.3">
      <c r="A196" s="5" t="s">
        <v>156</v>
      </c>
      <c r="B196" s="6" t="s">
        <v>45</v>
      </c>
      <c r="C196" s="6" t="s">
        <v>97</v>
      </c>
      <c r="D196" s="6" t="s">
        <v>276</v>
      </c>
      <c r="E196" s="6" t="s">
        <v>34</v>
      </c>
      <c r="F196" s="7">
        <v>45870</v>
      </c>
      <c r="G196" s="7"/>
      <c r="H196" s="8">
        <v>1570</v>
      </c>
      <c r="I196" s="6"/>
      <c r="J196" s="8">
        <v>5</v>
      </c>
      <c r="K196" s="6" t="s">
        <v>18</v>
      </c>
      <c r="L196" s="8"/>
    </row>
    <row r="197" spans="1:12" hidden="1" x14ac:dyDescent="0.3">
      <c r="A197" s="5" t="s">
        <v>163</v>
      </c>
      <c r="B197" s="6" t="s">
        <v>21</v>
      </c>
      <c r="C197" s="6" t="s">
        <v>154</v>
      </c>
      <c r="D197" s="6" t="str">
        <f>_xlfn.CONCAT("employees.",  RIGHT('Average salary'!$A60, 4), "@jogate.com")</f>
        <v>employees.1112@jogate.com</v>
      </c>
      <c r="E197" s="6" t="s">
        <v>34</v>
      </c>
      <c r="F197" s="7">
        <v>45871</v>
      </c>
      <c r="G197" s="7"/>
      <c r="H197" s="8">
        <v>2027</v>
      </c>
      <c r="I197" s="6" t="s">
        <v>84</v>
      </c>
      <c r="J197" s="8">
        <v>5</v>
      </c>
      <c r="K197" s="6" t="s">
        <v>18</v>
      </c>
      <c r="L197" s="8"/>
    </row>
    <row r="198" spans="1:12" hidden="1" x14ac:dyDescent="0.3">
      <c r="A198" s="10" t="s">
        <v>92</v>
      </c>
      <c r="B198" s="11" t="s">
        <v>21</v>
      </c>
      <c r="C198" s="11" t="s">
        <v>22</v>
      </c>
      <c r="D198" s="11" t="str">
        <f>_xlfn.CONCAT("employees.",  RIGHT('Average salary'!$A27, 4), "@jogate.com")</f>
        <v>employees.1092@jogate.com</v>
      </c>
      <c r="E198" s="11" t="s">
        <v>34</v>
      </c>
      <c r="F198" s="12">
        <v>45912</v>
      </c>
      <c r="G198" s="12"/>
      <c r="H198" s="13">
        <v>1456</v>
      </c>
      <c r="I198" s="11" t="s">
        <v>93</v>
      </c>
      <c r="J198" s="13">
        <v>4</v>
      </c>
      <c r="K198" s="11" t="s">
        <v>18</v>
      </c>
      <c r="L198" s="13"/>
    </row>
    <row r="199" spans="1:12" hidden="1" x14ac:dyDescent="0.3">
      <c r="A199" s="5" t="s">
        <v>184</v>
      </c>
      <c r="B199" s="6" t="s">
        <v>21</v>
      </c>
      <c r="C199" s="6" t="s">
        <v>22</v>
      </c>
      <c r="D199" s="6" t="s">
        <v>185</v>
      </c>
      <c r="E199" s="6" t="s">
        <v>34</v>
      </c>
      <c r="F199" s="7">
        <v>45940</v>
      </c>
      <c r="G199" s="7">
        <v>47501</v>
      </c>
      <c r="H199" s="8">
        <v>593</v>
      </c>
      <c r="I199" s="6" t="s">
        <v>84</v>
      </c>
      <c r="J199" s="8">
        <v>2</v>
      </c>
      <c r="K199" s="6" t="s">
        <v>35</v>
      </c>
      <c r="L199" s="8"/>
    </row>
    <row r="200" spans="1:12" hidden="1" x14ac:dyDescent="0.3">
      <c r="A200" s="10" t="s">
        <v>266</v>
      </c>
      <c r="B200" s="11" t="s">
        <v>61</v>
      </c>
      <c r="C200" s="11" t="s">
        <v>62</v>
      </c>
      <c r="D200" s="11" t="s">
        <v>267</v>
      </c>
      <c r="E200" s="11" t="s">
        <v>34</v>
      </c>
      <c r="F200" s="12">
        <v>45943</v>
      </c>
      <c r="G200" s="12"/>
      <c r="H200" s="13">
        <v>1350</v>
      </c>
      <c r="I200" s="11" t="s">
        <v>237</v>
      </c>
      <c r="J200" s="13">
        <v>3</v>
      </c>
      <c r="K200" s="11" t="s">
        <v>18</v>
      </c>
      <c r="L200" s="13"/>
    </row>
    <row r="201" spans="1:12" ht="15" thickBot="1" x14ac:dyDescent="0.35">
      <c r="A201" s="5" t="s">
        <v>363</v>
      </c>
      <c r="B201" s="6" t="s">
        <v>27</v>
      </c>
      <c r="C201" s="6" t="s">
        <v>87</v>
      </c>
      <c r="D201" s="6" t="s">
        <v>364</v>
      </c>
      <c r="E201" s="6" t="s">
        <v>16</v>
      </c>
      <c r="F201" s="7">
        <v>45946</v>
      </c>
      <c r="G201" s="7"/>
      <c r="H201" s="8">
        <v>1153</v>
      </c>
      <c r="I201" s="6" t="s">
        <v>94</v>
      </c>
      <c r="J201" s="8">
        <v>4</v>
      </c>
      <c r="K201" s="6" t="s">
        <v>18</v>
      </c>
      <c r="L201" s="8"/>
    </row>
    <row r="202" spans="1:12" ht="15" thickTop="1" x14ac:dyDescent="0.3">
      <c r="A202" s="15"/>
      <c r="B202" s="16"/>
      <c r="C202" s="16"/>
      <c r="D202" s="16"/>
      <c r="E202" s="16"/>
      <c r="F202" s="17"/>
      <c r="G202" s="17"/>
      <c r="H202" s="2"/>
      <c r="I202" s="16"/>
      <c r="J202" s="2"/>
      <c r="K202" s="16"/>
      <c r="L202" s="2"/>
    </row>
  </sheetData>
  <autoFilter ref="A1:L201" xr:uid="{5DF3B1B0-615D-4DA6-AE41-448F4D696987}">
    <filterColumn colId="4">
      <filters>
        <filter val="Female"/>
        <filter val="Male"/>
      </filters>
    </filterColumn>
    <sortState xmlns:xlrd2="http://schemas.microsoft.com/office/spreadsheetml/2017/richdata2" ref="A2:L201">
      <sortCondition ref="F1:F201"/>
    </sortState>
  </autoFilter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285B2-7935-4BDC-925F-C8CE1547C5CC}">
  <sheetPr filterMode="1"/>
  <dimension ref="A1:P202"/>
  <sheetViews>
    <sheetView tabSelected="1" topLeftCell="G1" zoomScale="85" workbookViewId="0">
      <selection activeCell="P49" sqref="P49"/>
    </sheetView>
  </sheetViews>
  <sheetFormatPr defaultRowHeight="14.4" x14ac:dyDescent="0.3"/>
  <cols>
    <col min="1" max="1" width="13.33203125" bestFit="1" customWidth="1"/>
    <col min="2" max="2" width="21.88671875" bestFit="1" customWidth="1"/>
    <col min="3" max="3" width="20.44140625" bestFit="1" customWidth="1"/>
    <col min="4" max="4" width="30.33203125" customWidth="1"/>
    <col min="5" max="5" width="9.33203125" bestFit="1" customWidth="1"/>
    <col min="6" max="6" width="22.88671875" customWidth="1"/>
    <col min="7" max="7" width="17.44140625" bestFit="1" customWidth="1"/>
    <col min="8" max="8" width="8.44140625" bestFit="1" customWidth="1"/>
    <col min="9" max="9" width="12.5546875" bestFit="1" customWidth="1"/>
    <col min="10" max="10" width="19.77734375" bestFit="1" customWidth="1"/>
    <col min="11" max="11" width="12.77734375" customWidth="1"/>
    <col min="12" max="12" width="11.77734375" bestFit="1" customWidth="1"/>
    <col min="14" max="14" width="22.88671875" bestFit="1" customWidth="1"/>
    <col min="15" max="15" width="20" bestFit="1" customWidth="1"/>
    <col min="16" max="16" width="16.6640625" bestFit="1" customWidth="1"/>
    <col min="17" max="18" width="11.44140625" bestFit="1" customWidth="1"/>
    <col min="19" max="19" width="11.21875" bestFit="1" customWidth="1"/>
    <col min="20" max="20" width="10.44140625" bestFit="1" customWidth="1"/>
    <col min="21" max="21" width="11.44140625" bestFit="1" customWidth="1"/>
  </cols>
  <sheetData>
    <row r="1" spans="1:1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idden="1" x14ac:dyDescent="0.3">
      <c r="A2" s="5" t="s">
        <v>330</v>
      </c>
      <c r="B2" s="6" t="s">
        <v>13</v>
      </c>
      <c r="C2" s="6" t="s">
        <v>264</v>
      </c>
      <c r="D2" s="6" t="s">
        <v>331</v>
      </c>
      <c r="E2" s="6" t="s">
        <v>34</v>
      </c>
      <c r="F2" s="7">
        <v>43120</v>
      </c>
      <c r="G2" s="7"/>
      <c r="H2" s="8">
        <v>403</v>
      </c>
      <c r="I2" s="6" t="s">
        <v>141</v>
      </c>
      <c r="J2" s="8">
        <v>2</v>
      </c>
      <c r="K2" s="6" t="s">
        <v>18</v>
      </c>
      <c r="L2" s="8"/>
      <c r="N2" s="9" t="s">
        <v>19</v>
      </c>
    </row>
    <row r="3" spans="1:16" x14ac:dyDescent="0.3">
      <c r="A3" s="5" t="s">
        <v>108</v>
      </c>
      <c r="B3" s="6" t="s">
        <v>27</v>
      </c>
      <c r="C3" s="6" t="s">
        <v>87</v>
      </c>
      <c r="D3" s="6" t="s">
        <v>109</v>
      </c>
      <c r="E3" s="6" t="s">
        <v>24</v>
      </c>
      <c r="F3" s="7">
        <v>43130</v>
      </c>
      <c r="G3" s="7"/>
      <c r="H3" s="8">
        <v>1785</v>
      </c>
      <c r="I3" s="6" t="s">
        <v>110</v>
      </c>
      <c r="J3" s="8">
        <v>4</v>
      </c>
      <c r="K3" s="6" t="s">
        <v>18</v>
      </c>
      <c r="L3" s="8"/>
      <c r="N3" s="14"/>
    </row>
    <row r="4" spans="1:16" x14ac:dyDescent="0.3">
      <c r="A4" s="5" t="s">
        <v>338</v>
      </c>
      <c r="B4" s="6" t="s">
        <v>50</v>
      </c>
      <c r="C4" s="6" t="s">
        <v>70</v>
      </c>
      <c r="D4" s="6" t="s">
        <v>339</v>
      </c>
      <c r="E4" s="6" t="s">
        <v>24</v>
      </c>
      <c r="F4" s="7">
        <v>43138</v>
      </c>
      <c r="G4" s="7">
        <v>44980</v>
      </c>
      <c r="H4" s="8">
        <v>551</v>
      </c>
      <c r="I4" s="6" t="s">
        <v>68</v>
      </c>
      <c r="J4" s="8">
        <v>3</v>
      </c>
      <c r="K4" s="6" t="s">
        <v>35</v>
      </c>
      <c r="L4" s="8"/>
      <c r="N4" s="9"/>
    </row>
    <row r="5" spans="1:16" x14ac:dyDescent="0.3">
      <c r="A5" s="10" t="s">
        <v>65</v>
      </c>
      <c r="B5" s="11" t="s">
        <v>61</v>
      </c>
      <c r="C5" s="11" t="s">
        <v>66</v>
      </c>
      <c r="D5" s="11" t="s">
        <v>67</v>
      </c>
      <c r="E5" s="11" t="s">
        <v>24</v>
      </c>
      <c r="F5" s="12">
        <v>43162</v>
      </c>
      <c r="G5" s="12"/>
      <c r="H5" s="13">
        <v>1150</v>
      </c>
      <c r="I5" s="11" t="s">
        <v>68</v>
      </c>
      <c r="J5" s="13">
        <v>2</v>
      </c>
      <c r="K5" s="11" t="s">
        <v>18</v>
      </c>
      <c r="L5" s="13"/>
      <c r="N5" s="14"/>
      <c r="O5" s="20"/>
      <c r="P5" s="20"/>
    </row>
    <row r="6" spans="1:16" hidden="1" x14ac:dyDescent="0.3">
      <c r="A6" s="10" t="s">
        <v>261</v>
      </c>
      <c r="B6" s="11" t="s">
        <v>31</v>
      </c>
      <c r="C6" s="11" t="s">
        <v>74</v>
      </c>
      <c r="D6" s="11" t="s">
        <v>262</v>
      </c>
      <c r="E6" s="11" t="s">
        <v>34</v>
      </c>
      <c r="F6" s="12">
        <v>43171</v>
      </c>
      <c r="G6" s="12"/>
      <c r="H6" s="13">
        <v>1528</v>
      </c>
      <c r="I6" s="11" t="s">
        <v>130</v>
      </c>
      <c r="J6" s="13">
        <v>5</v>
      </c>
      <c r="K6" s="11" t="s">
        <v>18</v>
      </c>
      <c r="L6" s="13"/>
      <c r="N6" s="9" t="s">
        <v>38</v>
      </c>
      <c r="O6" t="s">
        <v>403</v>
      </c>
      <c r="P6">
        <f>AVERAGE(H2:H201)</f>
        <v>1201.8150000000001</v>
      </c>
    </row>
    <row r="7" spans="1:16" x14ac:dyDescent="0.3">
      <c r="A7" s="5" t="s">
        <v>81</v>
      </c>
      <c r="B7" s="6" t="s">
        <v>99</v>
      </c>
      <c r="C7" s="6" t="s">
        <v>100</v>
      </c>
      <c r="D7" s="6" t="s">
        <v>224</v>
      </c>
      <c r="E7" s="6" t="s">
        <v>24</v>
      </c>
      <c r="F7" s="7">
        <v>43184</v>
      </c>
      <c r="G7" s="7">
        <v>44764</v>
      </c>
      <c r="H7" s="8">
        <v>1696</v>
      </c>
      <c r="I7" s="6"/>
      <c r="J7" s="8">
        <v>5</v>
      </c>
      <c r="K7" s="6" t="s">
        <v>35</v>
      </c>
      <c r="L7" s="8"/>
      <c r="N7" s="14"/>
      <c r="O7" s="20"/>
      <c r="P7" s="20"/>
    </row>
    <row r="8" spans="1:16" x14ac:dyDescent="0.3">
      <c r="A8" s="5" t="s">
        <v>279</v>
      </c>
      <c r="B8" s="6" t="s">
        <v>21</v>
      </c>
      <c r="C8" s="6" t="s">
        <v>133</v>
      </c>
      <c r="D8" s="6" t="s">
        <v>280</v>
      </c>
      <c r="E8" s="6" t="s">
        <v>24</v>
      </c>
      <c r="F8" s="7">
        <v>43189</v>
      </c>
      <c r="G8" s="7"/>
      <c r="H8" s="8">
        <v>338</v>
      </c>
      <c r="I8" s="6" t="s">
        <v>140</v>
      </c>
      <c r="J8" s="8">
        <v>3</v>
      </c>
      <c r="K8" s="6" t="s">
        <v>18</v>
      </c>
      <c r="L8" s="8"/>
      <c r="N8" s="9"/>
      <c r="O8" s="20"/>
      <c r="P8" s="21"/>
    </row>
    <row r="9" spans="1:16" x14ac:dyDescent="0.3">
      <c r="A9" s="10" t="s">
        <v>151</v>
      </c>
      <c r="B9" s="11" t="s">
        <v>13</v>
      </c>
      <c r="C9" s="11" t="s">
        <v>14</v>
      </c>
      <c r="D9" s="11" t="s">
        <v>152</v>
      </c>
      <c r="E9" s="11" t="s">
        <v>24</v>
      </c>
      <c r="F9" s="12">
        <v>43200</v>
      </c>
      <c r="G9" s="12"/>
      <c r="H9" s="13">
        <v>318</v>
      </c>
      <c r="I9" s="11" t="s">
        <v>91</v>
      </c>
      <c r="J9" s="13">
        <v>2</v>
      </c>
      <c r="K9" s="11" t="s">
        <v>18</v>
      </c>
      <c r="L9" s="13"/>
      <c r="O9" s="20"/>
      <c r="P9" s="21"/>
    </row>
    <row r="10" spans="1:16" x14ac:dyDescent="0.3">
      <c r="A10" s="10" t="s">
        <v>71</v>
      </c>
      <c r="B10" s="11" t="s">
        <v>42</v>
      </c>
      <c r="C10" s="11" t="s">
        <v>43</v>
      </c>
      <c r="D10" s="11" t="s">
        <v>369</v>
      </c>
      <c r="E10" s="11" t="s">
        <v>24</v>
      </c>
      <c r="F10" s="12">
        <v>43205</v>
      </c>
      <c r="G10" s="12"/>
      <c r="H10" s="13">
        <v>1646</v>
      </c>
      <c r="I10" s="11"/>
      <c r="J10" s="13">
        <v>2</v>
      </c>
      <c r="K10" s="11" t="s">
        <v>18</v>
      </c>
      <c r="L10" s="13"/>
    </row>
    <row r="11" spans="1:16" x14ac:dyDescent="0.3">
      <c r="A11" s="10" t="s">
        <v>353</v>
      </c>
      <c r="B11" s="11" t="s">
        <v>45</v>
      </c>
      <c r="C11" s="11" t="s">
        <v>97</v>
      </c>
      <c r="D11" s="11" t="s">
        <v>354</v>
      </c>
      <c r="E11" s="11" t="s">
        <v>16</v>
      </c>
      <c r="F11" s="12">
        <v>43229</v>
      </c>
      <c r="G11" s="12"/>
      <c r="H11" s="13">
        <v>1440</v>
      </c>
      <c r="I11" s="11"/>
      <c r="J11" s="13">
        <v>3</v>
      </c>
      <c r="K11" s="11" t="s">
        <v>18</v>
      </c>
      <c r="L11" s="13"/>
    </row>
    <row r="12" spans="1:16" hidden="1" x14ac:dyDescent="0.3">
      <c r="A12" s="10" t="s">
        <v>145</v>
      </c>
      <c r="B12" s="11" t="s">
        <v>31</v>
      </c>
      <c r="C12" s="11" t="s">
        <v>32</v>
      </c>
      <c r="D12" s="11" t="s">
        <v>387</v>
      </c>
      <c r="E12" s="11" t="s">
        <v>34</v>
      </c>
      <c r="F12" s="12">
        <v>43229</v>
      </c>
      <c r="G12" s="12">
        <v>44618</v>
      </c>
      <c r="H12" s="13">
        <v>2082</v>
      </c>
      <c r="I12" s="11"/>
      <c r="J12" s="13">
        <v>2</v>
      </c>
      <c r="K12" s="11" t="s">
        <v>35</v>
      </c>
      <c r="L12" s="13"/>
    </row>
    <row r="13" spans="1:16" hidden="1" x14ac:dyDescent="0.3">
      <c r="A13" s="10" t="s">
        <v>277</v>
      </c>
      <c r="B13" s="11" t="s">
        <v>21</v>
      </c>
      <c r="C13" s="11" t="s">
        <v>22</v>
      </c>
      <c r="D13" s="11" t="s">
        <v>278</v>
      </c>
      <c r="E13" s="11" t="s">
        <v>34</v>
      </c>
      <c r="F13" s="12">
        <v>43244</v>
      </c>
      <c r="G13" s="12"/>
      <c r="H13" s="13">
        <v>1088</v>
      </c>
      <c r="I13" s="11" t="s">
        <v>79</v>
      </c>
      <c r="J13" s="13">
        <v>3</v>
      </c>
      <c r="K13" s="11" t="s">
        <v>18</v>
      </c>
      <c r="L13" s="13"/>
    </row>
    <row r="14" spans="1:16" hidden="1" x14ac:dyDescent="0.3">
      <c r="A14" s="5" t="s">
        <v>322</v>
      </c>
      <c r="B14" s="6" t="s">
        <v>21</v>
      </c>
      <c r="C14" s="6" t="s">
        <v>154</v>
      </c>
      <c r="D14" s="6" t="s">
        <v>323</v>
      </c>
      <c r="E14" s="6" t="s">
        <v>34</v>
      </c>
      <c r="F14" s="7">
        <v>43263</v>
      </c>
      <c r="G14" s="7"/>
      <c r="H14" s="8">
        <v>1236</v>
      </c>
      <c r="I14" s="6" t="s">
        <v>17</v>
      </c>
      <c r="J14" s="8">
        <v>5</v>
      </c>
      <c r="K14" s="6" t="s">
        <v>18</v>
      </c>
      <c r="L14" s="8"/>
      <c r="N14" s="18" t="s">
        <v>10</v>
      </c>
      <c r="O14" t="s">
        <v>35</v>
      </c>
    </row>
    <row r="15" spans="1:16" x14ac:dyDescent="0.3">
      <c r="A15" s="10" t="s">
        <v>204</v>
      </c>
      <c r="B15" s="11" t="s">
        <v>50</v>
      </c>
      <c r="C15" s="11" t="s">
        <v>51</v>
      </c>
      <c r="D15" s="11" t="s">
        <v>205</v>
      </c>
      <c r="E15" s="11" t="s">
        <v>16</v>
      </c>
      <c r="F15" s="12">
        <v>43280</v>
      </c>
      <c r="G15" s="12"/>
      <c r="H15" s="13">
        <v>1554</v>
      </c>
      <c r="I15" s="11" t="s">
        <v>88</v>
      </c>
      <c r="J15" s="13">
        <v>4</v>
      </c>
      <c r="K15" s="11" t="s">
        <v>18</v>
      </c>
      <c r="L15" s="13"/>
    </row>
    <row r="16" spans="1:16" x14ac:dyDescent="0.3">
      <c r="A16" s="10" t="s">
        <v>104</v>
      </c>
      <c r="B16" s="11" t="s">
        <v>45</v>
      </c>
      <c r="C16" s="11" t="s">
        <v>97</v>
      </c>
      <c r="D16" s="11" t="s">
        <v>302</v>
      </c>
      <c r="E16" s="11" t="s">
        <v>16</v>
      </c>
      <c r="F16" s="12">
        <v>43289</v>
      </c>
      <c r="G16" s="12"/>
      <c r="H16" s="13">
        <v>814</v>
      </c>
      <c r="I16" s="11"/>
      <c r="J16" s="13">
        <v>5</v>
      </c>
      <c r="K16" s="11" t="s">
        <v>18</v>
      </c>
      <c r="L16" s="13"/>
      <c r="N16" s="18" t="s">
        <v>404</v>
      </c>
      <c r="O16" t="s">
        <v>408</v>
      </c>
    </row>
    <row r="17" spans="1:15" x14ac:dyDescent="0.3">
      <c r="A17" s="5" t="s">
        <v>110</v>
      </c>
      <c r="B17" s="6" t="s">
        <v>31</v>
      </c>
      <c r="C17" s="6" t="s">
        <v>32</v>
      </c>
      <c r="D17" s="6" t="str">
        <f>_xlfn.CONCAT("employees.",  RIGHT('Turnover by department'!$A108, 4), "@jogate.com")</f>
        <v>employees.1022@jogate.com</v>
      </c>
      <c r="E17" s="6" t="s">
        <v>16</v>
      </c>
      <c r="F17" s="7">
        <v>43292</v>
      </c>
      <c r="G17" s="7">
        <v>44267</v>
      </c>
      <c r="H17" s="8">
        <v>1594</v>
      </c>
      <c r="I17" s="6"/>
      <c r="J17" s="8">
        <v>2</v>
      </c>
      <c r="K17" s="6" t="s">
        <v>35</v>
      </c>
      <c r="L17" s="8"/>
      <c r="N17" s="19" t="s">
        <v>50</v>
      </c>
      <c r="O17" s="1">
        <v>6</v>
      </c>
    </row>
    <row r="18" spans="1:15" x14ac:dyDescent="0.3">
      <c r="A18" s="5" t="s">
        <v>263</v>
      </c>
      <c r="B18" s="6" t="s">
        <v>13</v>
      </c>
      <c r="C18" s="6" t="s">
        <v>264</v>
      </c>
      <c r="D18" s="6" t="s">
        <v>265</v>
      </c>
      <c r="E18" s="6" t="s">
        <v>24</v>
      </c>
      <c r="F18" s="7">
        <v>43308</v>
      </c>
      <c r="G18" s="7"/>
      <c r="H18" s="8">
        <v>1591</v>
      </c>
      <c r="I18" s="6" t="s">
        <v>130</v>
      </c>
      <c r="J18" s="8">
        <v>5</v>
      </c>
      <c r="K18" s="6" t="s">
        <v>18</v>
      </c>
      <c r="L18" s="8"/>
      <c r="N18" s="19" t="s">
        <v>21</v>
      </c>
      <c r="O18" s="1">
        <v>6</v>
      </c>
    </row>
    <row r="19" spans="1:15" hidden="1" x14ac:dyDescent="0.3">
      <c r="A19" s="10" t="s">
        <v>324</v>
      </c>
      <c r="B19" s="11" t="s">
        <v>61</v>
      </c>
      <c r="C19" s="11" t="s">
        <v>62</v>
      </c>
      <c r="D19" s="11" t="s">
        <v>325</v>
      </c>
      <c r="E19" s="11" t="s">
        <v>34</v>
      </c>
      <c r="F19" s="12">
        <v>43323</v>
      </c>
      <c r="G19" s="12"/>
      <c r="H19" s="13">
        <v>1899</v>
      </c>
      <c r="I19" s="11" t="s">
        <v>146</v>
      </c>
      <c r="J19" s="13">
        <v>2</v>
      </c>
      <c r="K19" s="11" t="s">
        <v>18</v>
      </c>
      <c r="L19" s="13"/>
      <c r="N19" s="19" t="s">
        <v>45</v>
      </c>
      <c r="O19" s="1">
        <v>5</v>
      </c>
    </row>
    <row r="20" spans="1:15" hidden="1" x14ac:dyDescent="0.3">
      <c r="A20" s="10" t="s">
        <v>140</v>
      </c>
      <c r="B20" s="11" t="s">
        <v>31</v>
      </c>
      <c r="C20" s="11" t="s">
        <v>32</v>
      </c>
      <c r="D20" s="11" t="s">
        <v>356</v>
      </c>
      <c r="E20" s="11" t="s">
        <v>34</v>
      </c>
      <c r="F20" s="12">
        <v>43336</v>
      </c>
      <c r="G20" s="12"/>
      <c r="H20" s="13">
        <v>1529</v>
      </c>
      <c r="I20" s="11"/>
      <c r="J20" s="13">
        <v>3</v>
      </c>
      <c r="K20" s="11" t="s">
        <v>18</v>
      </c>
      <c r="L20" s="13"/>
      <c r="N20" s="19" t="s">
        <v>31</v>
      </c>
      <c r="O20" s="1">
        <v>5</v>
      </c>
    </row>
    <row r="21" spans="1:15" x14ac:dyDescent="0.3">
      <c r="A21" s="5" t="s">
        <v>188</v>
      </c>
      <c r="B21" s="6" t="s">
        <v>45</v>
      </c>
      <c r="C21" s="6" t="s">
        <v>46</v>
      </c>
      <c r="D21" s="6" t="s">
        <v>189</v>
      </c>
      <c r="E21" s="6" t="s">
        <v>24</v>
      </c>
      <c r="F21" s="7">
        <v>43337</v>
      </c>
      <c r="G21" s="7">
        <v>44278</v>
      </c>
      <c r="H21" s="8">
        <v>1593</v>
      </c>
      <c r="I21" s="6" t="s">
        <v>146</v>
      </c>
      <c r="J21" s="8">
        <v>3</v>
      </c>
      <c r="K21" s="6" t="s">
        <v>35</v>
      </c>
      <c r="L21" s="8"/>
      <c r="N21" s="19" t="s">
        <v>99</v>
      </c>
      <c r="O21" s="1">
        <v>4</v>
      </c>
    </row>
    <row r="22" spans="1:15" x14ac:dyDescent="0.3">
      <c r="A22" s="5" t="s">
        <v>241</v>
      </c>
      <c r="B22" s="6" t="s">
        <v>31</v>
      </c>
      <c r="C22" s="6" t="s">
        <v>32</v>
      </c>
      <c r="D22" s="6" t="s">
        <v>287</v>
      </c>
      <c r="E22" s="6" t="s">
        <v>16</v>
      </c>
      <c r="F22" s="7">
        <v>43345</v>
      </c>
      <c r="G22" s="7"/>
      <c r="H22" s="8">
        <v>1820</v>
      </c>
      <c r="I22" s="6"/>
      <c r="J22" s="8">
        <v>4</v>
      </c>
      <c r="K22" s="6" t="s">
        <v>18</v>
      </c>
      <c r="L22" s="8"/>
      <c r="N22" s="19" t="s">
        <v>13</v>
      </c>
      <c r="O22" s="1">
        <v>3</v>
      </c>
    </row>
    <row r="23" spans="1:15" x14ac:dyDescent="0.3">
      <c r="A23" s="5" t="s">
        <v>37</v>
      </c>
      <c r="B23" s="6" t="s">
        <v>13</v>
      </c>
      <c r="C23" s="6" t="s">
        <v>14</v>
      </c>
      <c r="D23" s="6" t="s">
        <v>129</v>
      </c>
      <c r="E23" s="6" t="s">
        <v>24</v>
      </c>
      <c r="F23" s="7">
        <v>43349</v>
      </c>
      <c r="G23" s="7">
        <v>45081</v>
      </c>
      <c r="H23" s="8">
        <v>1802</v>
      </c>
      <c r="I23" s="6" t="s">
        <v>110</v>
      </c>
      <c r="J23" s="8">
        <v>5</v>
      </c>
      <c r="K23" s="6" t="s">
        <v>35</v>
      </c>
      <c r="L23" s="8"/>
      <c r="N23" s="19" t="s">
        <v>42</v>
      </c>
      <c r="O23" s="1">
        <v>3</v>
      </c>
    </row>
    <row r="24" spans="1:15" hidden="1" x14ac:dyDescent="0.3">
      <c r="A24" s="5" t="s">
        <v>252</v>
      </c>
      <c r="B24" s="6" t="s">
        <v>61</v>
      </c>
      <c r="C24" s="6" t="s">
        <v>66</v>
      </c>
      <c r="D24" s="6" t="s">
        <v>253</v>
      </c>
      <c r="E24" s="6" t="s">
        <v>34</v>
      </c>
      <c r="F24" s="7">
        <v>43349</v>
      </c>
      <c r="G24" s="7"/>
      <c r="H24" s="8">
        <v>1009</v>
      </c>
      <c r="I24" s="6" t="s">
        <v>164</v>
      </c>
      <c r="J24" s="8">
        <v>2</v>
      </c>
      <c r="K24" s="6" t="s">
        <v>18</v>
      </c>
      <c r="L24" s="8"/>
      <c r="N24" s="19" t="s">
        <v>61</v>
      </c>
      <c r="O24" s="1">
        <v>3</v>
      </c>
    </row>
    <row r="25" spans="1:15" x14ac:dyDescent="0.3">
      <c r="A25" s="10" t="s">
        <v>86</v>
      </c>
      <c r="B25" s="11" t="s">
        <v>27</v>
      </c>
      <c r="C25" s="11" t="s">
        <v>87</v>
      </c>
      <c r="D25" s="11" t="str">
        <f>_xlfn.CONCAT("employees.",  RIGHT('Turnover by department'!$A25, 4), "@jogate.com")</f>
        <v>employees.1024@jogate.com</v>
      </c>
      <c r="E25" s="11" t="s">
        <v>24</v>
      </c>
      <c r="F25" s="12">
        <v>43353</v>
      </c>
      <c r="G25" s="12"/>
      <c r="H25" s="13">
        <v>761</v>
      </c>
      <c r="I25" s="11" t="s">
        <v>88</v>
      </c>
      <c r="J25" s="13">
        <v>4</v>
      </c>
      <c r="K25" s="11" t="s">
        <v>18</v>
      </c>
      <c r="L25" s="13"/>
      <c r="N25" s="19" t="s">
        <v>27</v>
      </c>
      <c r="O25" s="1">
        <v>1</v>
      </c>
    </row>
    <row r="26" spans="1:15" x14ac:dyDescent="0.3">
      <c r="A26" s="5" t="s">
        <v>303</v>
      </c>
      <c r="B26" s="6" t="s">
        <v>42</v>
      </c>
      <c r="C26" s="6" t="s">
        <v>83</v>
      </c>
      <c r="D26" s="6" t="s">
        <v>304</v>
      </c>
      <c r="E26" s="6" t="s">
        <v>16</v>
      </c>
      <c r="F26" s="7">
        <v>43404</v>
      </c>
      <c r="G26" s="7"/>
      <c r="H26" s="8">
        <v>994</v>
      </c>
      <c r="I26" s="6" t="s">
        <v>39</v>
      </c>
      <c r="J26" s="8">
        <v>5</v>
      </c>
      <c r="K26" s="6" t="s">
        <v>18</v>
      </c>
      <c r="L26" s="8"/>
      <c r="N26" s="19" t="s">
        <v>405</v>
      </c>
      <c r="O26" s="1">
        <v>36</v>
      </c>
    </row>
    <row r="27" spans="1:15" hidden="1" x14ac:dyDescent="0.3">
      <c r="A27" s="10" t="s">
        <v>219</v>
      </c>
      <c r="B27" s="11" t="s">
        <v>45</v>
      </c>
      <c r="C27" s="11" t="s">
        <v>58</v>
      </c>
      <c r="D27" s="11" t="s">
        <v>220</v>
      </c>
      <c r="E27" s="11" t="s">
        <v>34</v>
      </c>
      <c r="F27" s="12">
        <v>43414</v>
      </c>
      <c r="G27" s="12"/>
      <c r="H27" s="13">
        <v>466</v>
      </c>
      <c r="I27" s="11" t="s">
        <v>164</v>
      </c>
      <c r="J27" s="13">
        <v>5</v>
      </c>
      <c r="K27" s="11" t="s">
        <v>18</v>
      </c>
      <c r="L27" s="13"/>
    </row>
    <row r="28" spans="1:15" x14ac:dyDescent="0.3">
      <c r="A28" s="10" t="s">
        <v>77</v>
      </c>
      <c r="B28" s="11" t="s">
        <v>61</v>
      </c>
      <c r="C28" s="11" t="s">
        <v>78</v>
      </c>
      <c r="D28" s="11" t="str">
        <f>_xlfn.CONCAT("employees.",  RIGHT('Turnover by department'!$A21, 4), "@jogate.com")</f>
        <v>employees.1073@jogate.com</v>
      </c>
      <c r="E28" s="11" t="s">
        <v>16</v>
      </c>
      <c r="F28" s="12">
        <v>43455</v>
      </c>
      <c r="G28" s="12">
        <v>44930</v>
      </c>
      <c r="H28" s="13">
        <v>1814</v>
      </c>
      <c r="I28" s="11" t="s">
        <v>79</v>
      </c>
      <c r="J28" s="13">
        <v>2</v>
      </c>
      <c r="K28" s="11" t="s">
        <v>35</v>
      </c>
      <c r="L28" s="13"/>
    </row>
    <row r="29" spans="1:15" hidden="1" x14ac:dyDescent="0.3">
      <c r="A29" s="5" t="s">
        <v>102</v>
      </c>
      <c r="B29" s="6" t="s">
        <v>61</v>
      </c>
      <c r="C29" s="6" t="s">
        <v>62</v>
      </c>
      <c r="D29" s="6" t="s">
        <v>103</v>
      </c>
      <c r="E29" s="6" t="s">
        <v>34</v>
      </c>
      <c r="F29" s="7">
        <v>43456</v>
      </c>
      <c r="G29" s="7"/>
      <c r="H29" s="8">
        <v>454</v>
      </c>
      <c r="I29" s="6" t="s">
        <v>104</v>
      </c>
      <c r="J29" s="8">
        <v>4</v>
      </c>
      <c r="K29" s="6" t="s">
        <v>18</v>
      </c>
      <c r="L29" s="8"/>
    </row>
    <row r="30" spans="1:15" x14ac:dyDescent="0.3">
      <c r="A30" s="10" t="s">
        <v>91</v>
      </c>
      <c r="B30" s="11" t="s">
        <v>99</v>
      </c>
      <c r="C30" s="11" t="s">
        <v>100</v>
      </c>
      <c r="D30" s="11" t="s">
        <v>288</v>
      </c>
      <c r="E30" s="11" t="s">
        <v>24</v>
      </c>
      <c r="F30" s="12">
        <v>43472</v>
      </c>
      <c r="G30" s="12"/>
      <c r="H30" s="13">
        <v>1933</v>
      </c>
      <c r="I30" s="11"/>
      <c r="J30" s="13">
        <v>4</v>
      </c>
      <c r="K30" s="11" t="s">
        <v>18</v>
      </c>
      <c r="L30" s="13"/>
    </row>
    <row r="31" spans="1:15" hidden="1" x14ac:dyDescent="0.3">
      <c r="A31" s="10" t="s">
        <v>316</v>
      </c>
      <c r="B31" s="11" t="s">
        <v>13</v>
      </c>
      <c r="C31" s="11" t="s">
        <v>160</v>
      </c>
      <c r="D31" s="11" t="s">
        <v>317</v>
      </c>
      <c r="E31" s="11" t="s">
        <v>34</v>
      </c>
      <c r="F31" s="12">
        <v>43474</v>
      </c>
      <c r="G31" s="12"/>
      <c r="H31" s="13">
        <v>946</v>
      </c>
      <c r="I31" s="11" t="s">
        <v>145</v>
      </c>
      <c r="J31" s="13">
        <v>4</v>
      </c>
      <c r="K31" s="11" t="s">
        <v>18</v>
      </c>
      <c r="L31" s="13"/>
    </row>
    <row r="32" spans="1:15" hidden="1" x14ac:dyDescent="0.3">
      <c r="A32" s="10" t="s">
        <v>162</v>
      </c>
      <c r="B32" s="11" t="s">
        <v>27</v>
      </c>
      <c r="C32" s="11" t="s">
        <v>87</v>
      </c>
      <c r="D32" s="11" t="str">
        <f>_xlfn.CONCAT("employees.",  RIGHT('Turnover by department'!$A59, 4), "@jogate.com")</f>
        <v>employees.1028@jogate.com</v>
      </c>
      <c r="E32" s="11" t="s">
        <v>34</v>
      </c>
      <c r="F32" s="12">
        <v>43504</v>
      </c>
      <c r="G32" s="12"/>
      <c r="H32" s="13">
        <v>2088</v>
      </c>
      <c r="I32" s="11" t="s">
        <v>130</v>
      </c>
      <c r="J32" s="13">
        <v>4</v>
      </c>
      <c r="K32" s="11" t="s">
        <v>18</v>
      </c>
      <c r="L32" s="13"/>
    </row>
    <row r="33" spans="1:12" hidden="1" x14ac:dyDescent="0.3">
      <c r="A33" s="10" t="s">
        <v>141</v>
      </c>
      <c r="B33" s="11" t="s">
        <v>13</v>
      </c>
      <c r="C33" s="11" t="s">
        <v>14</v>
      </c>
      <c r="D33" s="11" t="s">
        <v>142</v>
      </c>
      <c r="E33" s="11" t="s">
        <v>34</v>
      </c>
      <c r="F33" s="12">
        <v>43519</v>
      </c>
      <c r="G33" s="12"/>
      <c r="H33" s="13">
        <v>1258</v>
      </c>
      <c r="I33" s="11" t="s">
        <v>98</v>
      </c>
      <c r="J33" s="13">
        <v>5</v>
      </c>
      <c r="K33" s="11" t="s">
        <v>18</v>
      </c>
      <c r="L33" s="13"/>
    </row>
    <row r="34" spans="1:12" x14ac:dyDescent="0.3">
      <c r="A34" s="10" t="s">
        <v>98</v>
      </c>
      <c r="B34" s="11" t="s">
        <v>99</v>
      </c>
      <c r="C34" s="11" t="s">
        <v>100</v>
      </c>
      <c r="D34" s="11" t="s">
        <v>101</v>
      </c>
      <c r="E34" s="11" t="s">
        <v>16</v>
      </c>
      <c r="F34" s="12">
        <v>43530</v>
      </c>
      <c r="G34" s="12"/>
      <c r="H34" s="13">
        <v>953</v>
      </c>
      <c r="I34" s="11"/>
      <c r="J34" s="13">
        <v>5</v>
      </c>
      <c r="K34" s="11" t="s">
        <v>18</v>
      </c>
      <c r="L34" s="13"/>
    </row>
    <row r="35" spans="1:12" hidden="1" x14ac:dyDescent="0.3">
      <c r="A35" s="10" t="s">
        <v>157</v>
      </c>
      <c r="B35" s="11" t="s">
        <v>50</v>
      </c>
      <c r="C35" s="11" t="s">
        <v>51</v>
      </c>
      <c r="D35" s="11" t="str">
        <f>_xlfn.CONCAT("employees.",  RIGHT('Turnover by department'!$A55, 4), "@jogate.com")</f>
        <v>employees.1066@jogate.com</v>
      </c>
      <c r="E35" s="11" t="s">
        <v>34</v>
      </c>
      <c r="F35" s="12">
        <v>43531</v>
      </c>
      <c r="G35" s="12"/>
      <c r="H35" s="13">
        <v>1632</v>
      </c>
      <c r="I35" s="11" t="s">
        <v>81</v>
      </c>
      <c r="J35" s="13">
        <v>3</v>
      </c>
      <c r="K35" s="11" t="s">
        <v>18</v>
      </c>
      <c r="L35" s="13"/>
    </row>
    <row r="36" spans="1:12" x14ac:dyDescent="0.3">
      <c r="A36" s="5" t="s">
        <v>221</v>
      </c>
      <c r="B36" s="6" t="s">
        <v>21</v>
      </c>
      <c r="C36" s="6" t="s">
        <v>22</v>
      </c>
      <c r="D36" s="6" t="s">
        <v>222</v>
      </c>
      <c r="E36" s="6" t="s">
        <v>16</v>
      </c>
      <c r="F36" s="7">
        <v>43534</v>
      </c>
      <c r="G36" s="7">
        <v>44606</v>
      </c>
      <c r="H36" s="8">
        <v>1750</v>
      </c>
      <c r="I36" s="6" t="s">
        <v>81</v>
      </c>
      <c r="J36" s="8">
        <v>4</v>
      </c>
      <c r="K36" s="6" t="s">
        <v>35</v>
      </c>
      <c r="L36" s="8"/>
    </row>
    <row r="37" spans="1:12" x14ac:dyDescent="0.3">
      <c r="A37" s="10" t="s">
        <v>285</v>
      </c>
      <c r="B37" s="11" t="s">
        <v>50</v>
      </c>
      <c r="C37" s="11" t="s">
        <v>70</v>
      </c>
      <c r="D37" s="11" t="s">
        <v>286</v>
      </c>
      <c r="E37" s="11" t="s">
        <v>16</v>
      </c>
      <c r="F37" s="12">
        <v>43545</v>
      </c>
      <c r="G37" s="12"/>
      <c r="H37" s="13">
        <v>1986</v>
      </c>
      <c r="I37" s="11" t="s">
        <v>210</v>
      </c>
      <c r="J37" s="13">
        <v>5</v>
      </c>
      <c r="K37" s="11" t="s">
        <v>18</v>
      </c>
      <c r="L37" s="13"/>
    </row>
    <row r="38" spans="1:12" x14ac:dyDescent="0.3">
      <c r="A38" s="5" t="s">
        <v>307</v>
      </c>
      <c r="B38" s="6" t="s">
        <v>31</v>
      </c>
      <c r="C38" s="6" t="s">
        <v>74</v>
      </c>
      <c r="D38" s="6" t="s">
        <v>308</v>
      </c>
      <c r="E38" s="6" t="s">
        <v>16</v>
      </c>
      <c r="F38" s="7">
        <v>43553</v>
      </c>
      <c r="G38" s="7"/>
      <c r="H38" s="8">
        <v>1250</v>
      </c>
      <c r="I38" s="6" t="s">
        <v>64</v>
      </c>
      <c r="J38" s="8">
        <v>2</v>
      </c>
      <c r="K38" s="6" t="s">
        <v>18</v>
      </c>
      <c r="L38" s="8"/>
    </row>
    <row r="39" spans="1:12" x14ac:dyDescent="0.3">
      <c r="A39" s="5" t="s">
        <v>128</v>
      </c>
      <c r="B39" s="6" t="s">
        <v>45</v>
      </c>
      <c r="C39" s="6" t="s">
        <v>97</v>
      </c>
      <c r="D39" s="6" t="s">
        <v>231</v>
      </c>
      <c r="E39" s="6" t="s">
        <v>16</v>
      </c>
      <c r="F39" s="7">
        <v>43560</v>
      </c>
      <c r="G39" s="7"/>
      <c r="H39" s="8">
        <v>1039</v>
      </c>
      <c r="I39" s="6"/>
      <c r="J39" s="8">
        <v>3</v>
      </c>
      <c r="K39" s="6" t="s">
        <v>18</v>
      </c>
      <c r="L39" s="8"/>
    </row>
    <row r="40" spans="1:12" hidden="1" x14ac:dyDescent="0.3">
      <c r="A40" s="10" t="s">
        <v>84</v>
      </c>
      <c r="B40" s="11" t="s">
        <v>45</v>
      </c>
      <c r="C40" s="11" t="s">
        <v>97</v>
      </c>
      <c r="D40" s="11" t="s">
        <v>295</v>
      </c>
      <c r="E40" s="11" t="s">
        <v>34</v>
      </c>
      <c r="F40" s="12">
        <v>43560</v>
      </c>
      <c r="G40" s="12"/>
      <c r="H40" s="13">
        <v>448</v>
      </c>
      <c r="I40" s="11"/>
      <c r="J40" s="13">
        <v>4</v>
      </c>
      <c r="K40" s="11" t="s">
        <v>18</v>
      </c>
      <c r="L40" s="13"/>
    </row>
    <row r="41" spans="1:12" x14ac:dyDescent="0.3">
      <c r="A41" s="10" t="s">
        <v>250</v>
      </c>
      <c r="B41" s="11" t="s">
        <v>61</v>
      </c>
      <c r="C41" s="11" t="s">
        <v>78</v>
      </c>
      <c r="D41" s="11" t="s">
        <v>251</v>
      </c>
      <c r="E41" s="11" t="s">
        <v>16</v>
      </c>
      <c r="F41" s="12">
        <v>43566</v>
      </c>
      <c r="G41" s="12"/>
      <c r="H41" s="13">
        <v>463</v>
      </c>
      <c r="I41" s="11" t="s">
        <v>37</v>
      </c>
      <c r="J41" s="13">
        <v>3</v>
      </c>
      <c r="K41" s="11" t="s">
        <v>18</v>
      </c>
      <c r="L41" s="13"/>
    </row>
    <row r="42" spans="1:12" hidden="1" x14ac:dyDescent="0.3">
      <c r="A42" s="10" t="s">
        <v>291</v>
      </c>
      <c r="B42" s="11" t="s">
        <v>31</v>
      </c>
      <c r="C42" s="11" t="s">
        <v>74</v>
      </c>
      <c r="D42" s="11" t="s">
        <v>292</v>
      </c>
      <c r="E42" s="11" t="s">
        <v>34</v>
      </c>
      <c r="F42" s="12">
        <v>43579</v>
      </c>
      <c r="G42" s="12"/>
      <c r="H42" s="13">
        <v>802</v>
      </c>
      <c r="I42" s="11" t="s">
        <v>121</v>
      </c>
      <c r="J42" s="13">
        <v>2</v>
      </c>
      <c r="K42" s="11" t="s">
        <v>18</v>
      </c>
      <c r="L42" s="13"/>
    </row>
    <row r="43" spans="1:12" x14ac:dyDescent="0.3">
      <c r="A43" s="10" t="s">
        <v>376</v>
      </c>
      <c r="B43" s="11" t="s">
        <v>45</v>
      </c>
      <c r="C43" s="11" t="s">
        <v>46</v>
      </c>
      <c r="D43" s="11" t="s">
        <v>377</v>
      </c>
      <c r="E43" s="11" t="s">
        <v>24</v>
      </c>
      <c r="F43" s="12">
        <v>43594</v>
      </c>
      <c r="G43" s="12"/>
      <c r="H43" s="13">
        <v>1461</v>
      </c>
      <c r="I43" s="11" t="s">
        <v>41</v>
      </c>
      <c r="J43" s="13">
        <v>3</v>
      </c>
      <c r="K43" s="11" t="s">
        <v>18</v>
      </c>
      <c r="L43" s="13"/>
    </row>
    <row r="44" spans="1:12" x14ac:dyDescent="0.3">
      <c r="A44" s="5" t="s">
        <v>348</v>
      </c>
      <c r="B44" s="6" t="s">
        <v>50</v>
      </c>
      <c r="C44" s="6" t="s">
        <v>51</v>
      </c>
      <c r="D44" s="6" t="s">
        <v>349</v>
      </c>
      <c r="E44" s="6" t="s">
        <v>16</v>
      </c>
      <c r="F44" s="7">
        <v>43601</v>
      </c>
      <c r="G44" s="7"/>
      <c r="H44" s="8">
        <v>1953</v>
      </c>
      <c r="I44" s="6" t="s">
        <v>53</v>
      </c>
      <c r="J44" s="8">
        <v>3</v>
      </c>
      <c r="K44" s="6" t="s">
        <v>18</v>
      </c>
      <c r="L44" s="8"/>
    </row>
    <row r="45" spans="1:12" x14ac:dyDescent="0.3">
      <c r="A45" s="10" t="s">
        <v>117</v>
      </c>
      <c r="B45" s="11" t="s">
        <v>31</v>
      </c>
      <c r="C45" s="11" t="s">
        <v>32</v>
      </c>
      <c r="D45" s="11" t="str">
        <f>_xlfn.CONCAT("employees.",  RIGHT('Turnover by department'!$A39, 4), "@jogate.com")</f>
        <v>employees.1099@jogate.com</v>
      </c>
      <c r="E45" s="11" t="s">
        <v>24</v>
      </c>
      <c r="F45" s="12">
        <v>43620</v>
      </c>
      <c r="G45" s="12"/>
      <c r="H45" s="13">
        <v>1755</v>
      </c>
      <c r="I45" s="11"/>
      <c r="J45" s="13">
        <v>5</v>
      </c>
      <c r="K45" s="11" t="s">
        <v>18</v>
      </c>
      <c r="L45" s="13"/>
    </row>
    <row r="46" spans="1:12" hidden="1" x14ac:dyDescent="0.3">
      <c r="A46" s="5" t="s">
        <v>234</v>
      </c>
      <c r="B46" s="6" t="s">
        <v>99</v>
      </c>
      <c r="C46" s="6" t="s">
        <v>138</v>
      </c>
      <c r="D46" s="6" t="str">
        <f>_xlfn.CONCAT("employees.",  RIGHT('Turnover by department'!$A102, 4), "@jogate.com")</f>
        <v>employees.1074@jogate.com</v>
      </c>
      <c r="E46" s="6" t="s">
        <v>34</v>
      </c>
      <c r="F46" s="7">
        <v>43633</v>
      </c>
      <c r="G46" s="7"/>
      <c r="H46" s="8">
        <v>348</v>
      </c>
      <c r="I46" s="6" t="s">
        <v>104</v>
      </c>
      <c r="J46" s="8">
        <v>3</v>
      </c>
      <c r="K46" s="6" t="s">
        <v>18</v>
      </c>
      <c r="L46" s="8"/>
    </row>
    <row r="47" spans="1:12" hidden="1" x14ac:dyDescent="0.3">
      <c r="A47" s="10" t="s">
        <v>270</v>
      </c>
      <c r="B47" s="11" t="s">
        <v>99</v>
      </c>
      <c r="C47" s="11" t="s">
        <v>125</v>
      </c>
      <c r="D47" s="11" t="s">
        <v>271</v>
      </c>
      <c r="E47" s="11" t="s">
        <v>34</v>
      </c>
      <c r="F47" s="12">
        <v>43663</v>
      </c>
      <c r="G47" s="12"/>
      <c r="H47" s="13">
        <v>779</v>
      </c>
      <c r="I47" s="11" t="s">
        <v>56</v>
      </c>
      <c r="J47" s="13">
        <v>2</v>
      </c>
      <c r="K47" s="11" t="s">
        <v>18</v>
      </c>
      <c r="L47" s="13"/>
    </row>
    <row r="48" spans="1:12" x14ac:dyDescent="0.3">
      <c r="A48" s="5" t="s">
        <v>245</v>
      </c>
      <c r="B48" s="6" t="s">
        <v>45</v>
      </c>
      <c r="C48" s="6" t="s">
        <v>58</v>
      </c>
      <c r="D48" s="6" t="str">
        <f>_xlfn.CONCAT("employees.",  RIGHT('Turnover by department'!$A114, 4), "@jogate.com")</f>
        <v>employees.1168@jogate.com</v>
      </c>
      <c r="E48" s="6" t="s">
        <v>16</v>
      </c>
      <c r="F48" s="7">
        <v>43664</v>
      </c>
      <c r="G48" s="7"/>
      <c r="H48" s="8">
        <v>620</v>
      </c>
      <c r="I48" s="6" t="s">
        <v>140</v>
      </c>
      <c r="J48" s="8">
        <v>5</v>
      </c>
      <c r="K48" s="6" t="s">
        <v>18</v>
      </c>
      <c r="L48" s="8"/>
    </row>
    <row r="49" spans="1:12" x14ac:dyDescent="0.3">
      <c r="A49" s="5" t="s">
        <v>344</v>
      </c>
      <c r="B49" s="6" t="s">
        <v>21</v>
      </c>
      <c r="C49" s="6" t="s">
        <v>133</v>
      </c>
      <c r="D49" s="6" t="s">
        <v>345</v>
      </c>
      <c r="E49" s="6" t="s">
        <v>16</v>
      </c>
      <c r="F49" s="7">
        <v>43667</v>
      </c>
      <c r="G49" s="7"/>
      <c r="H49" s="8">
        <v>1900</v>
      </c>
      <c r="I49" s="6" t="s">
        <v>151</v>
      </c>
      <c r="J49" s="8">
        <v>5</v>
      </c>
      <c r="K49" s="6" t="s">
        <v>18</v>
      </c>
      <c r="L49" s="8"/>
    </row>
    <row r="50" spans="1:12" hidden="1" x14ac:dyDescent="0.3">
      <c r="A50" s="10" t="s">
        <v>342</v>
      </c>
      <c r="B50" s="11" t="s">
        <v>42</v>
      </c>
      <c r="C50" s="11" t="s">
        <v>83</v>
      </c>
      <c r="D50" s="11" t="s">
        <v>343</v>
      </c>
      <c r="E50" s="11" t="s">
        <v>34</v>
      </c>
      <c r="F50" s="12">
        <v>43734</v>
      </c>
      <c r="G50" s="12"/>
      <c r="H50" s="13">
        <v>2049</v>
      </c>
      <c r="I50" s="11" t="s">
        <v>171</v>
      </c>
      <c r="J50" s="13">
        <v>5</v>
      </c>
      <c r="K50" s="11" t="s">
        <v>18</v>
      </c>
      <c r="L50" s="13"/>
    </row>
    <row r="51" spans="1:12" x14ac:dyDescent="0.3">
      <c r="A51" s="5" t="s">
        <v>171</v>
      </c>
      <c r="B51" s="6" t="s">
        <v>31</v>
      </c>
      <c r="C51" s="6" t="s">
        <v>32</v>
      </c>
      <c r="D51" s="6" t="s">
        <v>355</v>
      </c>
      <c r="E51" s="6" t="s">
        <v>24</v>
      </c>
      <c r="F51" s="7">
        <v>43744</v>
      </c>
      <c r="G51" s="7"/>
      <c r="H51" s="8">
        <v>1885</v>
      </c>
      <c r="I51" s="6"/>
      <c r="J51" s="8">
        <v>4</v>
      </c>
      <c r="K51" s="6" t="s">
        <v>18</v>
      </c>
      <c r="L51" s="8"/>
    </row>
    <row r="52" spans="1:12" hidden="1" x14ac:dyDescent="0.3">
      <c r="A52" s="5" t="s">
        <v>289</v>
      </c>
      <c r="B52" s="6" t="s">
        <v>99</v>
      </c>
      <c r="C52" s="6" t="s">
        <v>138</v>
      </c>
      <c r="D52" s="6" t="s">
        <v>290</v>
      </c>
      <c r="E52" s="6" t="s">
        <v>34</v>
      </c>
      <c r="F52" s="7">
        <v>43754</v>
      </c>
      <c r="G52" s="7">
        <v>45258</v>
      </c>
      <c r="H52" s="8">
        <v>1769</v>
      </c>
      <c r="I52" s="6" t="s">
        <v>150</v>
      </c>
      <c r="J52" s="8">
        <v>5</v>
      </c>
      <c r="K52" s="6" t="s">
        <v>35</v>
      </c>
      <c r="L52" s="8"/>
    </row>
    <row r="53" spans="1:12" hidden="1" x14ac:dyDescent="0.3">
      <c r="A53" s="5" t="s">
        <v>118</v>
      </c>
      <c r="B53" s="6" t="s">
        <v>61</v>
      </c>
      <c r="C53" s="6" t="s">
        <v>62</v>
      </c>
      <c r="D53" s="6" t="s">
        <v>119</v>
      </c>
      <c r="E53" s="6" t="s">
        <v>34</v>
      </c>
      <c r="F53" s="7">
        <v>43779</v>
      </c>
      <c r="G53" s="7"/>
      <c r="H53" s="8">
        <v>1859</v>
      </c>
      <c r="I53" s="6" t="s">
        <v>120</v>
      </c>
      <c r="J53" s="8">
        <v>3</v>
      </c>
      <c r="K53" s="6" t="s">
        <v>18</v>
      </c>
      <c r="L53" s="8"/>
    </row>
    <row r="54" spans="1:12" hidden="1" x14ac:dyDescent="0.3">
      <c r="A54" s="5" t="s">
        <v>399</v>
      </c>
      <c r="B54" s="6" t="s">
        <v>50</v>
      </c>
      <c r="C54" s="6" t="s">
        <v>51</v>
      </c>
      <c r="D54" s="6" t="s">
        <v>400</v>
      </c>
      <c r="E54" s="6" t="s">
        <v>34</v>
      </c>
      <c r="F54" s="7">
        <v>43787</v>
      </c>
      <c r="G54" s="7"/>
      <c r="H54" s="8">
        <v>1163</v>
      </c>
      <c r="I54" s="6" t="s">
        <v>84</v>
      </c>
      <c r="J54" s="8">
        <v>2</v>
      </c>
      <c r="K54" s="6" t="s">
        <v>18</v>
      </c>
      <c r="L54" s="8"/>
    </row>
    <row r="55" spans="1:12" hidden="1" x14ac:dyDescent="0.3">
      <c r="A55" s="10" t="s">
        <v>175</v>
      </c>
      <c r="B55" s="11" t="s">
        <v>61</v>
      </c>
      <c r="C55" s="11" t="s">
        <v>78</v>
      </c>
      <c r="D55" s="11" t="s">
        <v>176</v>
      </c>
      <c r="E55" s="11" t="s">
        <v>34</v>
      </c>
      <c r="F55" s="12">
        <v>43817</v>
      </c>
      <c r="G55" s="12">
        <v>44765</v>
      </c>
      <c r="H55" s="13">
        <v>1573</v>
      </c>
      <c r="I55" s="11" t="s">
        <v>141</v>
      </c>
      <c r="J55" s="13">
        <v>3</v>
      </c>
      <c r="K55" s="11" t="s">
        <v>35</v>
      </c>
      <c r="L55" s="13"/>
    </row>
    <row r="56" spans="1:12" x14ac:dyDescent="0.3">
      <c r="A56" s="10" t="s">
        <v>120</v>
      </c>
      <c r="B56" s="11" t="s">
        <v>45</v>
      </c>
      <c r="C56" s="11" t="s">
        <v>97</v>
      </c>
      <c r="D56" s="11" t="s">
        <v>213</v>
      </c>
      <c r="E56" s="11" t="s">
        <v>24</v>
      </c>
      <c r="F56" s="12">
        <v>43833</v>
      </c>
      <c r="G56" s="12">
        <v>44836</v>
      </c>
      <c r="H56" s="13">
        <v>425</v>
      </c>
      <c r="I56" s="11"/>
      <c r="J56" s="13">
        <v>4</v>
      </c>
      <c r="K56" s="11" t="s">
        <v>35</v>
      </c>
      <c r="L56" s="13"/>
    </row>
    <row r="57" spans="1:12" hidden="1" x14ac:dyDescent="0.3">
      <c r="A57" s="10" t="s">
        <v>328</v>
      </c>
      <c r="B57" s="11" t="s">
        <v>27</v>
      </c>
      <c r="C57" s="11" t="s">
        <v>90</v>
      </c>
      <c r="D57" s="11" t="s">
        <v>329</v>
      </c>
      <c r="E57" s="11" t="s">
        <v>34</v>
      </c>
      <c r="F57" s="12">
        <v>43839</v>
      </c>
      <c r="G57" s="12"/>
      <c r="H57" s="13">
        <v>544</v>
      </c>
      <c r="I57" s="11" t="s">
        <v>236</v>
      </c>
      <c r="J57" s="13">
        <v>4</v>
      </c>
      <c r="K57" s="11" t="s">
        <v>18</v>
      </c>
      <c r="L57" s="13"/>
    </row>
    <row r="58" spans="1:12" hidden="1" x14ac:dyDescent="0.3">
      <c r="A58" s="10" t="s">
        <v>107</v>
      </c>
      <c r="B58" s="11" t="s">
        <v>31</v>
      </c>
      <c r="C58" s="11" t="s">
        <v>32</v>
      </c>
      <c r="D58" s="11" t="s">
        <v>362</v>
      </c>
      <c r="E58" s="11" t="s">
        <v>34</v>
      </c>
      <c r="F58" s="12">
        <v>43841</v>
      </c>
      <c r="G58" s="12"/>
      <c r="H58" s="13">
        <v>1476</v>
      </c>
      <c r="I58" s="11"/>
      <c r="J58" s="13">
        <v>4</v>
      </c>
      <c r="K58" s="11" t="s">
        <v>18</v>
      </c>
      <c r="L58" s="13"/>
    </row>
    <row r="59" spans="1:12" x14ac:dyDescent="0.3">
      <c r="A59" s="10" t="s">
        <v>95</v>
      </c>
      <c r="B59" s="11" t="s">
        <v>50</v>
      </c>
      <c r="C59" s="11" t="s">
        <v>70</v>
      </c>
      <c r="D59" s="11" t="str">
        <f>_xlfn.CONCAT("employees.",  RIGHT('Turnover by department'!$A29, 4), "@jogate.com")</f>
        <v>employees.1031@jogate.com</v>
      </c>
      <c r="E59" s="11" t="s">
        <v>16</v>
      </c>
      <c r="F59" s="12">
        <v>43890</v>
      </c>
      <c r="G59" s="12"/>
      <c r="H59" s="13">
        <v>637</v>
      </c>
      <c r="I59" s="11" t="s">
        <v>96</v>
      </c>
      <c r="J59" s="13">
        <v>2</v>
      </c>
      <c r="K59" s="11" t="s">
        <v>18</v>
      </c>
      <c r="L59" s="13"/>
    </row>
    <row r="60" spans="1:12" hidden="1" x14ac:dyDescent="0.3">
      <c r="A60" s="10" t="s">
        <v>244</v>
      </c>
      <c r="B60" s="11" t="s">
        <v>45</v>
      </c>
      <c r="C60" s="11" t="s">
        <v>46</v>
      </c>
      <c r="D60" s="11" t="str">
        <f>_xlfn.CONCAT("employees.",  RIGHT('Turnover by department'!$A113, 4), "@jogate.com")</f>
        <v>employees.1003@jogate.com</v>
      </c>
      <c r="E60" s="11" t="s">
        <v>34</v>
      </c>
      <c r="F60" s="12">
        <v>43895</v>
      </c>
      <c r="G60" s="12"/>
      <c r="H60" s="13">
        <v>923</v>
      </c>
      <c r="I60" s="11" t="s">
        <v>91</v>
      </c>
      <c r="J60" s="13">
        <v>3</v>
      </c>
      <c r="K60" s="11" t="s">
        <v>18</v>
      </c>
      <c r="L60" s="13"/>
    </row>
    <row r="61" spans="1:12" hidden="1" x14ac:dyDescent="0.3">
      <c r="A61" s="5" t="s">
        <v>214</v>
      </c>
      <c r="B61" s="6" t="s">
        <v>50</v>
      </c>
      <c r="C61" s="6" t="s">
        <v>51</v>
      </c>
      <c r="D61" s="6" t="s">
        <v>215</v>
      </c>
      <c r="E61" s="6" t="s">
        <v>34</v>
      </c>
      <c r="F61" s="7">
        <v>43899</v>
      </c>
      <c r="G61" s="7">
        <v>44681</v>
      </c>
      <c r="H61" s="8">
        <v>1591</v>
      </c>
      <c r="I61" s="6" t="s">
        <v>68</v>
      </c>
      <c r="J61" s="8">
        <v>5</v>
      </c>
      <c r="K61" s="6" t="s">
        <v>35</v>
      </c>
      <c r="L61" s="8"/>
    </row>
    <row r="62" spans="1:12" x14ac:dyDescent="0.3">
      <c r="A62" s="5" t="s">
        <v>73</v>
      </c>
      <c r="B62" s="6" t="s">
        <v>31</v>
      </c>
      <c r="C62" s="6" t="s">
        <v>74</v>
      </c>
      <c r="D62" s="6" t="str">
        <f>_xlfn.CONCAT("employees.",  RIGHT('Turnover by department'!$A18, 4), "@jogate.com")</f>
        <v>employees.1123@jogate.com</v>
      </c>
      <c r="E62" s="6" t="s">
        <v>16</v>
      </c>
      <c r="F62" s="7">
        <v>43911</v>
      </c>
      <c r="G62" s="7"/>
      <c r="H62" s="8">
        <v>2045</v>
      </c>
      <c r="I62" s="6" t="s">
        <v>41</v>
      </c>
      <c r="J62" s="8">
        <v>4</v>
      </c>
      <c r="K62" s="6" t="s">
        <v>18</v>
      </c>
      <c r="L62" s="8"/>
    </row>
    <row r="63" spans="1:12" hidden="1" x14ac:dyDescent="0.3">
      <c r="A63" s="10" t="s">
        <v>135</v>
      </c>
      <c r="B63" s="11" t="s">
        <v>21</v>
      </c>
      <c r="C63" s="11" t="s">
        <v>22</v>
      </c>
      <c r="D63" s="11" t="s">
        <v>136</v>
      </c>
      <c r="E63" s="11" t="s">
        <v>34</v>
      </c>
      <c r="F63" s="12">
        <v>43925</v>
      </c>
      <c r="G63" s="12"/>
      <c r="H63" s="13">
        <v>530</v>
      </c>
      <c r="I63" s="11" t="s">
        <v>37</v>
      </c>
      <c r="J63" s="13">
        <v>5</v>
      </c>
      <c r="K63" s="11" t="s">
        <v>18</v>
      </c>
      <c r="L63" s="13"/>
    </row>
    <row r="64" spans="1:12" x14ac:dyDescent="0.3">
      <c r="A64" s="5" t="s">
        <v>381</v>
      </c>
      <c r="B64" s="6" t="s">
        <v>45</v>
      </c>
      <c r="C64" s="6" t="s">
        <v>46</v>
      </c>
      <c r="D64" s="6" t="s">
        <v>382</v>
      </c>
      <c r="E64" s="6" t="s">
        <v>24</v>
      </c>
      <c r="F64" s="7">
        <v>43934</v>
      </c>
      <c r="G64" s="7">
        <v>44550</v>
      </c>
      <c r="H64" s="8">
        <v>1204</v>
      </c>
      <c r="I64" s="6" t="s">
        <v>98</v>
      </c>
      <c r="J64" s="8">
        <v>4</v>
      </c>
      <c r="K64" s="6" t="s">
        <v>35</v>
      </c>
      <c r="L64" s="8"/>
    </row>
    <row r="65" spans="1:12" hidden="1" x14ac:dyDescent="0.3">
      <c r="A65" s="5" t="s">
        <v>40</v>
      </c>
      <c r="B65" s="6" t="s">
        <v>27</v>
      </c>
      <c r="C65" s="6" t="s">
        <v>28</v>
      </c>
      <c r="D65" s="6" t="str">
        <f>_xlfn.CONCAT("employees.",  RIGHT('Turnover by department'!$A8, 4), "@jogate.com")</f>
        <v>employees.1131@jogate.com</v>
      </c>
      <c r="E65" s="6" t="s">
        <v>34</v>
      </c>
      <c r="F65" s="7">
        <v>43935</v>
      </c>
      <c r="G65" s="7"/>
      <c r="H65" s="8">
        <v>861</v>
      </c>
      <c r="I65" s="6"/>
      <c r="J65" s="8">
        <v>4</v>
      </c>
      <c r="K65" s="6" t="s">
        <v>18</v>
      </c>
      <c r="L65" s="8"/>
    </row>
    <row r="66" spans="1:12" x14ac:dyDescent="0.3">
      <c r="A66" s="10" t="s">
        <v>193</v>
      </c>
      <c r="B66" s="11" t="s">
        <v>50</v>
      </c>
      <c r="C66" s="11" t="s">
        <v>51</v>
      </c>
      <c r="D66" s="11" t="str">
        <f>_xlfn.CONCAT("employees.",  RIGHT('Turnover by department'!$A79, 4), "@jogate.com")</f>
        <v>employees.1193@jogate.com</v>
      </c>
      <c r="E66" s="11" t="s">
        <v>16</v>
      </c>
      <c r="F66" s="12">
        <v>43935</v>
      </c>
      <c r="G66" s="12"/>
      <c r="H66" s="13">
        <v>563</v>
      </c>
      <c r="I66" s="11" t="s">
        <v>41</v>
      </c>
      <c r="J66" s="13">
        <v>3</v>
      </c>
      <c r="K66" s="11" t="s">
        <v>18</v>
      </c>
      <c r="L66" s="13"/>
    </row>
    <row r="67" spans="1:12" hidden="1" x14ac:dyDescent="0.3">
      <c r="A67" s="10" t="s">
        <v>96</v>
      </c>
      <c r="B67" s="11" t="s">
        <v>31</v>
      </c>
      <c r="C67" s="11" t="s">
        <v>32</v>
      </c>
      <c r="D67" s="11" t="s">
        <v>200</v>
      </c>
      <c r="E67" s="11" t="s">
        <v>34</v>
      </c>
      <c r="F67" s="12">
        <v>43944</v>
      </c>
      <c r="G67" s="12"/>
      <c r="H67" s="13">
        <v>1563</v>
      </c>
      <c r="I67" s="11"/>
      <c r="J67" s="13">
        <v>3</v>
      </c>
      <c r="K67" s="11" t="s">
        <v>18</v>
      </c>
      <c r="L67" s="13"/>
    </row>
    <row r="68" spans="1:12" hidden="1" x14ac:dyDescent="0.3">
      <c r="A68" s="10" t="s">
        <v>312</v>
      </c>
      <c r="B68" s="11" t="s">
        <v>42</v>
      </c>
      <c r="C68" s="11" t="s">
        <v>43</v>
      </c>
      <c r="D68" s="11" t="s">
        <v>313</v>
      </c>
      <c r="E68" s="11" t="s">
        <v>34</v>
      </c>
      <c r="F68" s="12">
        <v>43963</v>
      </c>
      <c r="G68" s="12"/>
      <c r="H68" s="13">
        <v>1928</v>
      </c>
      <c r="I68" s="11"/>
      <c r="J68" s="13">
        <v>2</v>
      </c>
      <c r="K68" s="11" t="s">
        <v>18</v>
      </c>
      <c r="L68" s="13"/>
    </row>
    <row r="69" spans="1:12" hidden="1" x14ac:dyDescent="0.3">
      <c r="A69" s="10" t="s">
        <v>68</v>
      </c>
      <c r="B69" s="11" t="s">
        <v>13</v>
      </c>
      <c r="C69" s="11" t="s">
        <v>14</v>
      </c>
      <c r="D69" s="11" t="s">
        <v>340</v>
      </c>
      <c r="E69" s="11" t="s">
        <v>34</v>
      </c>
      <c r="F69" s="12">
        <v>43969</v>
      </c>
      <c r="G69" s="12">
        <v>45558</v>
      </c>
      <c r="H69" s="13">
        <v>697</v>
      </c>
      <c r="I69" s="11" t="s">
        <v>40</v>
      </c>
      <c r="J69" s="13">
        <v>4</v>
      </c>
      <c r="K69" s="11" t="s">
        <v>35</v>
      </c>
      <c r="L69" s="13"/>
    </row>
    <row r="70" spans="1:12" x14ac:dyDescent="0.3">
      <c r="A70" s="5" t="s">
        <v>194</v>
      </c>
      <c r="B70" s="6" t="s">
        <v>99</v>
      </c>
      <c r="C70" s="6" t="s">
        <v>125</v>
      </c>
      <c r="D70" s="6" t="s">
        <v>195</v>
      </c>
      <c r="E70" s="6" t="s">
        <v>16</v>
      </c>
      <c r="F70" s="7">
        <v>44015</v>
      </c>
      <c r="G70" s="7"/>
      <c r="H70" s="8">
        <v>541</v>
      </c>
      <c r="I70" s="6" t="s">
        <v>64</v>
      </c>
      <c r="J70" s="8">
        <v>5</v>
      </c>
      <c r="K70" s="6" t="s">
        <v>18</v>
      </c>
      <c r="L70" s="8"/>
    </row>
    <row r="71" spans="1:12" x14ac:dyDescent="0.3">
      <c r="A71" s="5" t="s">
        <v>137</v>
      </c>
      <c r="B71" s="6" t="s">
        <v>99</v>
      </c>
      <c r="C71" s="6" t="s">
        <v>138</v>
      </c>
      <c r="D71" s="6" t="s">
        <v>139</v>
      </c>
      <c r="E71" s="6" t="s">
        <v>16</v>
      </c>
      <c r="F71" s="7">
        <v>44043</v>
      </c>
      <c r="G71" s="7"/>
      <c r="H71" s="8">
        <v>1791</v>
      </c>
      <c r="I71" s="6" t="s">
        <v>140</v>
      </c>
      <c r="J71" s="8">
        <v>2</v>
      </c>
      <c r="K71" s="6" t="s">
        <v>18</v>
      </c>
      <c r="L71" s="8"/>
    </row>
    <row r="72" spans="1:12" x14ac:dyDescent="0.3">
      <c r="A72" s="5" t="s">
        <v>310</v>
      </c>
      <c r="B72" s="6" t="s">
        <v>21</v>
      </c>
      <c r="C72" s="6" t="s">
        <v>133</v>
      </c>
      <c r="D72" s="6" t="s">
        <v>311</v>
      </c>
      <c r="E72" s="6" t="s">
        <v>16</v>
      </c>
      <c r="F72" s="7">
        <v>44049</v>
      </c>
      <c r="G72" s="7"/>
      <c r="H72" s="8">
        <v>1245</v>
      </c>
      <c r="I72" s="6" t="s">
        <v>96</v>
      </c>
      <c r="J72" s="8">
        <v>4</v>
      </c>
      <c r="K72" s="6" t="s">
        <v>18</v>
      </c>
      <c r="L72" s="8"/>
    </row>
    <row r="73" spans="1:12" x14ac:dyDescent="0.3">
      <c r="A73" s="10" t="s">
        <v>336</v>
      </c>
      <c r="B73" s="11" t="s">
        <v>50</v>
      </c>
      <c r="C73" s="11" t="s">
        <v>51</v>
      </c>
      <c r="D73" s="11" t="s">
        <v>337</v>
      </c>
      <c r="E73" s="11" t="s">
        <v>16</v>
      </c>
      <c r="F73" s="12">
        <v>44075</v>
      </c>
      <c r="G73" s="12"/>
      <c r="H73" s="13">
        <v>1392</v>
      </c>
      <c r="I73" s="11" t="s">
        <v>237</v>
      </c>
      <c r="J73" s="13">
        <v>5</v>
      </c>
      <c r="K73" s="11" t="s">
        <v>18</v>
      </c>
      <c r="L73" s="13"/>
    </row>
    <row r="74" spans="1:12" x14ac:dyDescent="0.3">
      <c r="A74" s="5" t="s">
        <v>44</v>
      </c>
      <c r="B74" s="6" t="s">
        <v>45</v>
      </c>
      <c r="C74" s="6" t="s">
        <v>46</v>
      </c>
      <c r="D74" s="6" t="s">
        <v>47</v>
      </c>
      <c r="E74" s="6" t="s">
        <v>24</v>
      </c>
      <c r="F74" s="7">
        <v>44081</v>
      </c>
      <c r="G74" s="7"/>
      <c r="H74" s="8">
        <v>723</v>
      </c>
      <c r="I74" s="6" t="s">
        <v>48</v>
      </c>
      <c r="J74" s="8">
        <v>3</v>
      </c>
      <c r="K74" s="6" t="s">
        <v>18</v>
      </c>
      <c r="L74" s="8"/>
    </row>
    <row r="75" spans="1:12" hidden="1" x14ac:dyDescent="0.3">
      <c r="A75" s="10" t="s">
        <v>350</v>
      </c>
      <c r="B75" s="11" t="s">
        <v>42</v>
      </c>
      <c r="C75" s="11" t="s">
        <v>83</v>
      </c>
      <c r="D75" s="11" t="s">
        <v>351</v>
      </c>
      <c r="E75" s="11" t="s">
        <v>34</v>
      </c>
      <c r="F75" s="12">
        <v>44139</v>
      </c>
      <c r="G75" s="12"/>
      <c r="H75" s="13">
        <v>1483</v>
      </c>
      <c r="I75" s="11" t="s">
        <v>88</v>
      </c>
      <c r="J75" s="13">
        <v>4</v>
      </c>
      <c r="K75" s="11" t="s">
        <v>18</v>
      </c>
      <c r="L75" s="13"/>
    </row>
    <row r="76" spans="1:12" x14ac:dyDescent="0.3">
      <c r="A76" s="5" t="s">
        <v>210</v>
      </c>
      <c r="B76" s="6" t="s">
        <v>42</v>
      </c>
      <c r="C76" s="6" t="s">
        <v>122</v>
      </c>
      <c r="D76" s="6" t="s">
        <v>341</v>
      </c>
      <c r="E76" s="6" t="s">
        <v>24</v>
      </c>
      <c r="F76" s="7">
        <v>44149</v>
      </c>
      <c r="G76" s="7"/>
      <c r="H76" s="8">
        <v>666</v>
      </c>
      <c r="I76" s="6"/>
      <c r="J76" s="8">
        <v>4</v>
      </c>
      <c r="K76" s="6" t="s">
        <v>18</v>
      </c>
      <c r="L76" s="8"/>
    </row>
    <row r="77" spans="1:12" hidden="1" x14ac:dyDescent="0.3">
      <c r="A77" s="5" t="s">
        <v>36</v>
      </c>
      <c r="B77" s="6" t="s">
        <v>21</v>
      </c>
      <c r="C77" s="6" t="s">
        <v>22</v>
      </c>
      <c r="D77" s="6" t="str">
        <f>_xlfn.CONCAT("employees.",  RIGHT('Turnover by department'!$A6, 4), "@jogate.com")</f>
        <v>employees.1122@jogate.com</v>
      </c>
      <c r="E77" s="6" t="s">
        <v>34</v>
      </c>
      <c r="F77" s="7">
        <v>44155</v>
      </c>
      <c r="G77" s="7">
        <v>45318</v>
      </c>
      <c r="H77" s="8">
        <v>1704</v>
      </c>
      <c r="I77" s="6" t="s">
        <v>37</v>
      </c>
      <c r="J77" s="8">
        <v>5</v>
      </c>
      <c r="K77" s="6" t="s">
        <v>35</v>
      </c>
      <c r="L77" s="8"/>
    </row>
    <row r="78" spans="1:12" hidden="1" x14ac:dyDescent="0.3">
      <c r="A78" s="5" t="s">
        <v>54</v>
      </c>
      <c r="B78" s="6" t="s">
        <v>50</v>
      </c>
      <c r="C78" s="6" t="s">
        <v>51</v>
      </c>
      <c r="D78" s="6" t="s">
        <v>55</v>
      </c>
      <c r="E78" s="6" t="s">
        <v>34</v>
      </c>
      <c r="F78" s="7">
        <v>44180</v>
      </c>
      <c r="G78" s="7">
        <v>46048</v>
      </c>
      <c r="H78" s="8">
        <v>2011</v>
      </c>
      <c r="I78" s="6" t="s">
        <v>56</v>
      </c>
      <c r="J78" s="8">
        <v>2</v>
      </c>
      <c r="K78" s="6" t="s">
        <v>35</v>
      </c>
      <c r="L78" s="8"/>
    </row>
    <row r="79" spans="1:12" x14ac:dyDescent="0.3">
      <c r="A79" s="5" t="s">
        <v>388</v>
      </c>
      <c r="B79" s="6" t="s">
        <v>50</v>
      </c>
      <c r="C79" s="6" t="s">
        <v>70</v>
      </c>
      <c r="D79" s="6" t="s">
        <v>389</v>
      </c>
      <c r="E79" s="6" t="s">
        <v>24</v>
      </c>
      <c r="F79" s="7">
        <v>44190</v>
      </c>
      <c r="G79" s="7"/>
      <c r="H79" s="8">
        <v>1279</v>
      </c>
      <c r="I79" s="6" t="s">
        <v>91</v>
      </c>
      <c r="J79" s="8">
        <v>5</v>
      </c>
      <c r="K79" s="6" t="s">
        <v>18</v>
      </c>
      <c r="L79" s="8"/>
    </row>
    <row r="80" spans="1:12" x14ac:dyDescent="0.3">
      <c r="A80" s="5" t="s">
        <v>192</v>
      </c>
      <c r="B80" s="6" t="s">
        <v>50</v>
      </c>
      <c r="C80" s="6" t="s">
        <v>51</v>
      </c>
      <c r="D80" s="6" t="str">
        <f>_xlfn.CONCAT("employees.",  RIGHT('Turnover by department'!$A78, 4), "@jogate.com")</f>
        <v>employees.1011@jogate.com</v>
      </c>
      <c r="E80" s="6" t="s">
        <v>24</v>
      </c>
      <c r="F80" s="7">
        <v>44197</v>
      </c>
      <c r="G80" s="7"/>
      <c r="H80" s="8">
        <v>1664</v>
      </c>
      <c r="I80" s="6" t="s">
        <v>140</v>
      </c>
      <c r="J80" s="8">
        <v>5</v>
      </c>
      <c r="K80" s="6" t="s">
        <v>18</v>
      </c>
      <c r="L80" s="8"/>
    </row>
    <row r="81" spans="1:12" hidden="1" x14ac:dyDescent="0.3">
      <c r="A81" s="10" t="s">
        <v>167</v>
      </c>
      <c r="B81" s="11" t="s">
        <v>61</v>
      </c>
      <c r="C81" s="11" t="s">
        <v>66</v>
      </c>
      <c r="D81" s="11" t="s">
        <v>168</v>
      </c>
      <c r="E81" s="11" t="s">
        <v>34</v>
      </c>
      <c r="F81" s="12">
        <v>44238</v>
      </c>
      <c r="G81" s="12"/>
      <c r="H81" s="13">
        <v>1832</v>
      </c>
      <c r="I81" s="11" t="s">
        <v>146</v>
      </c>
      <c r="J81" s="13">
        <v>4</v>
      </c>
      <c r="K81" s="11" t="s">
        <v>18</v>
      </c>
      <c r="L81" s="13"/>
    </row>
    <row r="82" spans="1:12" x14ac:dyDescent="0.3">
      <c r="A82" s="5" t="s">
        <v>318</v>
      </c>
      <c r="B82" s="6" t="s">
        <v>61</v>
      </c>
      <c r="C82" s="6" t="s">
        <v>78</v>
      </c>
      <c r="D82" s="6" t="s">
        <v>319</v>
      </c>
      <c r="E82" s="6" t="s">
        <v>16</v>
      </c>
      <c r="F82" s="7">
        <v>44253</v>
      </c>
      <c r="G82" s="7"/>
      <c r="H82" s="8">
        <v>1396</v>
      </c>
      <c r="I82" s="6" t="s">
        <v>120</v>
      </c>
      <c r="J82" s="8">
        <v>3</v>
      </c>
      <c r="K82" s="6" t="s">
        <v>18</v>
      </c>
      <c r="L82" s="8"/>
    </row>
    <row r="83" spans="1:12" x14ac:dyDescent="0.3">
      <c r="A83" s="10" t="s">
        <v>332</v>
      </c>
      <c r="B83" s="11" t="s">
        <v>45</v>
      </c>
      <c r="C83" s="11" t="s">
        <v>97</v>
      </c>
      <c r="D83" s="11" t="s">
        <v>333</v>
      </c>
      <c r="E83" s="11" t="s">
        <v>16</v>
      </c>
      <c r="F83" s="12">
        <v>44260</v>
      </c>
      <c r="G83" s="12"/>
      <c r="H83" s="13">
        <v>2010</v>
      </c>
      <c r="I83" s="11"/>
      <c r="J83" s="13">
        <v>3</v>
      </c>
      <c r="K83" s="11" t="s">
        <v>18</v>
      </c>
      <c r="L83" s="13"/>
    </row>
    <row r="84" spans="1:12" hidden="1" x14ac:dyDescent="0.3">
      <c r="A84" s="5" t="s">
        <v>240</v>
      </c>
      <c r="B84" s="6" t="s">
        <v>61</v>
      </c>
      <c r="C84" s="6" t="s">
        <v>66</v>
      </c>
      <c r="D84" s="6" t="str">
        <f>_xlfn.CONCAT("employees.",  RIGHT('Turnover by department'!$A110, 4), "@jogate.com")</f>
        <v>employees.1045@jogate.com</v>
      </c>
      <c r="E84" s="6" t="s">
        <v>34</v>
      </c>
      <c r="F84" s="7">
        <v>44263</v>
      </c>
      <c r="G84" s="7"/>
      <c r="H84" s="8">
        <v>717</v>
      </c>
      <c r="I84" s="6" t="s">
        <v>241</v>
      </c>
      <c r="J84" s="8">
        <v>3</v>
      </c>
      <c r="K84" s="6" t="s">
        <v>18</v>
      </c>
      <c r="L84" s="8"/>
    </row>
    <row r="85" spans="1:12" x14ac:dyDescent="0.3">
      <c r="A85" s="5" t="s">
        <v>201</v>
      </c>
      <c r="B85" s="6" t="s">
        <v>21</v>
      </c>
      <c r="C85" s="6" t="s">
        <v>22</v>
      </c>
      <c r="D85" s="6" t="s">
        <v>202</v>
      </c>
      <c r="E85" s="6" t="s">
        <v>24</v>
      </c>
      <c r="F85" s="7">
        <v>44274</v>
      </c>
      <c r="G85" s="7">
        <v>44594</v>
      </c>
      <c r="H85" s="8">
        <v>1065</v>
      </c>
      <c r="I85" s="6" t="s">
        <v>203</v>
      </c>
      <c r="J85" s="8">
        <v>4</v>
      </c>
      <c r="K85" s="6" t="s">
        <v>35</v>
      </c>
      <c r="L85" s="8"/>
    </row>
    <row r="86" spans="1:12" hidden="1" x14ac:dyDescent="0.3">
      <c r="A86" s="10" t="s">
        <v>320</v>
      </c>
      <c r="B86" s="11" t="s">
        <v>31</v>
      </c>
      <c r="C86" s="11" t="s">
        <v>74</v>
      </c>
      <c r="D86" s="11" t="s">
        <v>321</v>
      </c>
      <c r="E86" s="11" t="s">
        <v>34</v>
      </c>
      <c r="F86" s="12">
        <v>44275</v>
      </c>
      <c r="G86" s="12"/>
      <c r="H86" s="13">
        <v>434</v>
      </c>
      <c r="I86" s="11" t="s">
        <v>93</v>
      </c>
      <c r="J86" s="13">
        <v>4</v>
      </c>
      <c r="K86" s="11" t="s">
        <v>18</v>
      </c>
      <c r="L86" s="13"/>
    </row>
    <row r="87" spans="1:12" x14ac:dyDescent="0.3">
      <c r="A87" s="10" t="s">
        <v>72</v>
      </c>
      <c r="B87" s="11" t="s">
        <v>21</v>
      </c>
      <c r="C87" s="11" t="s">
        <v>22</v>
      </c>
      <c r="D87" s="11" t="str">
        <f>_xlfn.CONCAT("employees.",  RIGHT('Turnover by department'!$A17, 4), "@jogate.com")</f>
        <v>employees.1107@jogate.com</v>
      </c>
      <c r="E87" s="11" t="s">
        <v>16</v>
      </c>
      <c r="F87" s="12">
        <v>44282</v>
      </c>
      <c r="G87" s="12"/>
      <c r="H87" s="13">
        <v>795</v>
      </c>
      <c r="I87" s="11" t="s">
        <v>37</v>
      </c>
      <c r="J87" s="13">
        <v>3</v>
      </c>
      <c r="K87" s="11" t="s">
        <v>18</v>
      </c>
      <c r="L87" s="13"/>
    </row>
    <row r="88" spans="1:12" hidden="1" x14ac:dyDescent="0.3">
      <c r="A88" s="5" t="s">
        <v>124</v>
      </c>
      <c r="B88" s="6" t="s">
        <v>99</v>
      </c>
      <c r="C88" s="6" t="s">
        <v>125</v>
      </c>
      <c r="D88" s="6" t="s">
        <v>126</v>
      </c>
      <c r="E88" s="6" t="s">
        <v>34</v>
      </c>
      <c r="F88" s="7">
        <v>44285</v>
      </c>
      <c r="G88" s="7"/>
      <c r="H88" s="8">
        <v>887</v>
      </c>
      <c r="I88" s="6" t="s">
        <v>113</v>
      </c>
      <c r="J88" s="8">
        <v>4</v>
      </c>
      <c r="K88" s="6" t="s">
        <v>18</v>
      </c>
      <c r="L88" s="8"/>
    </row>
    <row r="89" spans="1:12" x14ac:dyDescent="0.3">
      <c r="A89" s="10" t="s">
        <v>59</v>
      </c>
      <c r="B89" s="11" t="s">
        <v>27</v>
      </c>
      <c r="C89" s="11" t="s">
        <v>28</v>
      </c>
      <c r="D89" s="11" t="s">
        <v>246</v>
      </c>
      <c r="E89" s="11" t="s">
        <v>16</v>
      </c>
      <c r="F89" s="12">
        <v>44289</v>
      </c>
      <c r="G89" s="12"/>
      <c r="H89" s="13">
        <v>1552</v>
      </c>
      <c r="I89" s="11"/>
      <c r="J89" s="13">
        <v>3</v>
      </c>
      <c r="K89" s="11" t="s">
        <v>18</v>
      </c>
      <c r="L89" s="13"/>
    </row>
    <row r="90" spans="1:12" x14ac:dyDescent="0.3">
      <c r="A90" s="5" t="s">
        <v>296</v>
      </c>
      <c r="B90" s="6" t="s">
        <v>45</v>
      </c>
      <c r="C90" s="6" t="s">
        <v>58</v>
      </c>
      <c r="D90" s="6" t="s">
        <v>297</v>
      </c>
      <c r="E90" s="6" t="s">
        <v>16</v>
      </c>
      <c r="F90" s="7">
        <v>44323</v>
      </c>
      <c r="G90" s="7"/>
      <c r="H90" s="8">
        <v>1556</v>
      </c>
      <c r="I90" s="6" t="s">
        <v>130</v>
      </c>
      <c r="J90" s="8">
        <v>2</v>
      </c>
      <c r="K90" s="6" t="s">
        <v>18</v>
      </c>
      <c r="L90" s="8"/>
    </row>
    <row r="91" spans="1:12" x14ac:dyDescent="0.3">
      <c r="A91" s="10" t="s">
        <v>298</v>
      </c>
      <c r="B91" s="11" t="s">
        <v>99</v>
      </c>
      <c r="C91" s="11" t="s">
        <v>138</v>
      </c>
      <c r="D91" s="11" t="s">
        <v>299</v>
      </c>
      <c r="E91" s="11" t="s">
        <v>16</v>
      </c>
      <c r="F91" s="12">
        <v>44327</v>
      </c>
      <c r="G91" s="12"/>
      <c r="H91" s="13">
        <v>432</v>
      </c>
      <c r="I91" s="11" t="s">
        <v>151</v>
      </c>
      <c r="J91" s="13">
        <v>5</v>
      </c>
      <c r="K91" s="11" t="s">
        <v>18</v>
      </c>
      <c r="L91" s="13"/>
    </row>
    <row r="92" spans="1:12" x14ac:dyDescent="0.3">
      <c r="A92" s="10" t="s">
        <v>249</v>
      </c>
      <c r="B92" s="11" t="s">
        <v>42</v>
      </c>
      <c r="C92" s="11" t="s">
        <v>122</v>
      </c>
      <c r="D92" s="11" t="s">
        <v>359</v>
      </c>
      <c r="E92" s="11" t="s">
        <v>24</v>
      </c>
      <c r="F92" s="12">
        <v>44335</v>
      </c>
      <c r="G92" s="12">
        <v>44736</v>
      </c>
      <c r="H92" s="13">
        <v>602</v>
      </c>
      <c r="I92" s="11"/>
      <c r="J92" s="13">
        <v>5</v>
      </c>
      <c r="K92" s="11" t="s">
        <v>35</v>
      </c>
      <c r="L92" s="13"/>
    </row>
    <row r="93" spans="1:12" x14ac:dyDescent="0.3">
      <c r="A93" s="5" t="s">
        <v>360</v>
      </c>
      <c r="B93" s="6" t="s">
        <v>45</v>
      </c>
      <c r="C93" s="6" t="s">
        <v>58</v>
      </c>
      <c r="D93" s="6" t="s">
        <v>361</v>
      </c>
      <c r="E93" s="6" t="s">
        <v>24</v>
      </c>
      <c r="F93" s="7">
        <v>44337</v>
      </c>
      <c r="G93" s="7"/>
      <c r="H93" s="8">
        <v>800</v>
      </c>
      <c r="I93" s="6" t="s">
        <v>230</v>
      </c>
      <c r="J93" s="8">
        <v>3</v>
      </c>
      <c r="K93" s="6" t="s">
        <v>18</v>
      </c>
      <c r="L93" s="8"/>
    </row>
    <row r="94" spans="1:12" hidden="1" x14ac:dyDescent="0.3">
      <c r="A94" s="10" t="s">
        <v>25</v>
      </c>
      <c r="B94" s="11" t="s">
        <v>42</v>
      </c>
      <c r="C94" s="11" t="s">
        <v>43</v>
      </c>
      <c r="D94" s="11" t="s">
        <v>179</v>
      </c>
      <c r="E94" s="11" t="s">
        <v>34</v>
      </c>
      <c r="F94" s="12">
        <v>44339</v>
      </c>
      <c r="G94" s="12"/>
      <c r="H94" s="13">
        <v>976</v>
      </c>
      <c r="I94" s="11"/>
      <c r="J94" s="13">
        <v>5</v>
      </c>
      <c r="K94" s="11" t="s">
        <v>18</v>
      </c>
      <c r="L94" s="13"/>
    </row>
    <row r="95" spans="1:12" hidden="1" x14ac:dyDescent="0.3">
      <c r="A95" s="10" t="s">
        <v>394</v>
      </c>
      <c r="B95" s="11" t="s">
        <v>45</v>
      </c>
      <c r="C95" s="11" t="s">
        <v>58</v>
      </c>
      <c r="D95" s="11" t="s">
        <v>395</v>
      </c>
      <c r="E95" s="11" t="s">
        <v>34</v>
      </c>
      <c r="F95" s="12">
        <v>44359</v>
      </c>
      <c r="G95" s="12"/>
      <c r="H95" s="13">
        <v>1709</v>
      </c>
      <c r="I95" s="11" t="s">
        <v>130</v>
      </c>
      <c r="J95" s="13">
        <v>5</v>
      </c>
      <c r="K95" s="11" t="s">
        <v>18</v>
      </c>
      <c r="L95" s="13"/>
    </row>
    <row r="96" spans="1:12" x14ac:dyDescent="0.3">
      <c r="A96" s="10" t="s">
        <v>113</v>
      </c>
      <c r="B96" s="11" t="s">
        <v>42</v>
      </c>
      <c r="C96" s="11" t="s">
        <v>43</v>
      </c>
      <c r="D96" s="11" t="s">
        <v>309</v>
      </c>
      <c r="E96" s="11" t="s">
        <v>24</v>
      </c>
      <c r="F96" s="12">
        <v>44388</v>
      </c>
      <c r="G96" s="12"/>
      <c r="H96" s="13">
        <v>639</v>
      </c>
      <c r="I96" s="11"/>
      <c r="J96" s="13">
        <v>5</v>
      </c>
      <c r="K96" s="11" t="s">
        <v>18</v>
      </c>
      <c r="L96" s="13"/>
    </row>
    <row r="97" spans="1:12" x14ac:dyDescent="0.3">
      <c r="A97" s="5" t="s">
        <v>177</v>
      </c>
      <c r="B97" s="6" t="s">
        <v>42</v>
      </c>
      <c r="C97" s="6" t="s">
        <v>83</v>
      </c>
      <c r="D97" s="6" t="s">
        <v>178</v>
      </c>
      <c r="E97" s="6" t="s">
        <v>24</v>
      </c>
      <c r="F97" s="7">
        <v>44395</v>
      </c>
      <c r="G97" s="7"/>
      <c r="H97" s="8">
        <v>1319</v>
      </c>
      <c r="I97" s="6" t="s">
        <v>150</v>
      </c>
      <c r="J97" s="8">
        <v>2</v>
      </c>
      <c r="K97" s="6" t="s">
        <v>18</v>
      </c>
      <c r="L97" s="8"/>
    </row>
    <row r="98" spans="1:12" x14ac:dyDescent="0.3">
      <c r="A98" s="5" t="s">
        <v>243</v>
      </c>
      <c r="B98" s="6" t="s">
        <v>50</v>
      </c>
      <c r="C98" s="6" t="s">
        <v>70</v>
      </c>
      <c r="D98" s="6" t="str">
        <f>_xlfn.CONCAT("employees.",  RIGHT('Turnover by department'!$A112, 4), "@jogate.com")</f>
        <v>employees.1023@jogate.com</v>
      </c>
      <c r="E98" s="6" t="s">
        <v>24</v>
      </c>
      <c r="F98" s="7">
        <v>44437</v>
      </c>
      <c r="G98" s="7"/>
      <c r="H98" s="8">
        <v>1222</v>
      </c>
      <c r="I98" s="6" t="s">
        <v>48</v>
      </c>
      <c r="J98" s="8">
        <v>2</v>
      </c>
      <c r="K98" s="6" t="s">
        <v>18</v>
      </c>
      <c r="L98" s="8"/>
    </row>
    <row r="99" spans="1:12" x14ac:dyDescent="0.3">
      <c r="A99" s="5" t="s">
        <v>203</v>
      </c>
      <c r="B99" s="6" t="s">
        <v>42</v>
      </c>
      <c r="C99" s="6" t="s">
        <v>122</v>
      </c>
      <c r="D99" s="6" t="s">
        <v>352</v>
      </c>
      <c r="E99" s="6" t="s">
        <v>16</v>
      </c>
      <c r="F99" s="7">
        <v>44444</v>
      </c>
      <c r="G99" s="7"/>
      <c r="H99" s="8">
        <v>323</v>
      </c>
      <c r="I99" s="6"/>
      <c r="J99" s="8">
        <v>5</v>
      </c>
      <c r="K99" s="6" t="s">
        <v>18</v>
      </c>
      <c r="L99" s="8"/>
    </row>
    <row r="100" spans="1:12" x14ac:dyDescent="0.3">
      <c r="A100" s="5" t="s">
        <v>293</v>
      </c>
      <c r="B100" s="6" t="s">
        <v>27</v>
      </c>
      <c r="C100" s="6" t="s">
        <v>87</v>
      </c>
      <c r="D100" s="6" t="s">
        <v>294</v>
      </c>
      <c r="E100" s="6" t="s">
        <v>16</v>
      </c>
      <c r="F100" s="7">
        <v>44447</v>
      </c>
      <c r="G100" s="7"/>
      <c r="H100" s="8">
        <v>1186</v>
      </c>
      <c r="I100" s="6" t="s">
        <v>236</v>
      </c>
      <c r="J100" s="8">
        <v>5</v>
      </c>
      <c r="K100" s="6" t="s">
        <v>18</v>
      </c>
      <c r="L100" s="8"/>
    </row>
    <row r="101" spans="1:12" x14ac:dyDescent="0.3">
      <c r="A101" s="10" t="s">
        <v>390</v>
      </c>
      <c r="B101" s="11" t="s">
        <v>99</v>
      </c>
      <c r="C101" s="11" t="s">
        <v>125</v>
      </c>
      <c r="D101" s="11" t="s">
        <v>391</v>
      </c>
      <c r="E101" s="11" t="s">
        <v>16</v>
      </c>
      <c r="F101" s="12">
        <v>44447</v>
      </c>
      <c r="G101" s="12"/>
      <c r="H101" s="13">
        <v>533</v>
      </c>
      <c r="I101" s="11" t="s">
        <v>353</v>
      </c>
      <c r="J101" s="13">
        <v>4</v>
      </c>
      <c r="K101" s="11" t="s">
        <v>18</v>
      </c>
      <c r="L101" s="13"/>
    </row>
    <row r="102" spans="1:12" hidden="1" x14ac:dyDescent="0.3">
      <c r="A102" s="10" t="s">
        <v>48</v>
      </c>
      <c r="B102" s="11" t="s">
        <v>31</v>
      </c>
      <c r="C102" s="11" t="s">
        <v>32</v>
      </c>
      <c r="D102" s="11" t="str">
        <f>_xlfn.CONCAT("employees.",  RIGHT('Turnover by department'!$A75, 4), "@jogate.com")</f>
        <v>employees.1170@jogate.com</v>
      </c>
      <c r="E102" s="11" t="s">
        <v>34</v>
      </c>
      <c r="F102" s="12">
        <v>44493</v>
      </c>
      <c r="G102" s="12"/>
      <c r="H102" s="13">
        <v>2049</v>
      </c>
      <c r="I102" s="11"/>
      <c r="J102" s="13">
        <v>2</v>
      </c>
      <c r="K102" s="11" t="s">
        <v>18</v>
      </c>
      <c r="L102" s="13"/>
    </row>
    <row r="103" spans="1:12" hidden="1" x14ac:dyDescent="0.3">
      <c r="A103" s="10" t="s">
        <v>274</v>
      </c>
      <c r="B103" s="11" t="s">
        <v>61</v>
      </c>
      <c r="C103" s="11" t="s">
        <v>62</v>
      </c>
      <c r="D103" s="11" t="s">
        <v>275</v>
      </c>
      <c r="E103" s="11" t="s">
        <v>34</v>
      </c>
      <c r="F103" s="12">
        <v>44507</v>
      </c>
      <c r="G103" s="12"/>
      <c r="H103" s="13">
        <v>1869</v>
      </c>
      <c r="I103" s="11" t="s">
        <v>40</v>
      </c>
      <c r="J103" s="13">
        <v>2</v>
      </c>
      <c r="K103" s="11" t="s">
        <v>18</v>
      </c>
      <c r="L103" s="13"/>
    </row>
    <row r="104" spans="1:12" x14ac:dyDescent="0.3">
      <c r="A104" s="5" t="s">
        <v>53</v>
      </c>
      <c r="B104" s="6" t="s">
        <v>42</v>
      </c>
      <c r="C104" s="6" t="s">
        <v>43</v>
      </c>
      <c r="D104" s="6" t="s">
        <v>218</v>
      </c>
      <c r="E104" s="6" t="s">
        <v>24</v>
      </c>
      <c r="F104" s="7">
        <v>44511</v>
      </c>
      <c r="G104" s="7"/>
      <c r="H104" s="8">
        <v>782</v>
      </c>
      <c r="I104" s="6"/>
      <c r="J104" s="8">
        <v>2</v>
      </c>
      <c r="K104" s="6" t="s">
        <v>18</v>
      </c>
      <c r="L104" s="8"/>
    </row>
    <row r="105" spans="1:12" x14ac:dyDescent="0.3">
      <c r="A105" s="5" t="s">
        <v>396</v>
      </c>
      <c r="B105" s="6" t="s">
        <v>13</v>
      </c>
      <c r="C105" s="6" t="s">
        <v>264</v>
      </c>
      <c r="D105" s="6" t="s">
        <v>397</v>
      </c>
      <c r="E105" s="6" t="s">
        <v>24</v>
      </c>
      <c r="F105" s="7">
        <v>44555</v>
      </c>
      <c r="G105" s="7"/>
      <c r="H105" s="8">
        <v>472</v>
      </c>
      <c r="I105" s="6" t="s">
        <v>71</v>
      </c>
      <c r="J105" s="8">
        <v>5</v>
      </c>
      <c r="K105" s="6" t="s">
        <v>18</v>
      </c>
      <c r="L105" s="8"/>
    </row>
    <row r="106" spans="1:12" x14ac:dyDescent="0.3">
      <c r="A106" s="10" t="s">
        <v>254</v>
      </c>
      <c r="B106" s="11" t="s">
        <v>31</v>
      </c>
      <c r="C106" s="11" t="s">
        <v>74</v>
      </c>
      <c r="D106" s="11" t="s">
        <v>255</v>
      </c>
      <c r="E106" s="11" t="s">
        <v>16</v>
      </c>
      <c r="F106" s="12">
        <v>44569</v>
      </c>
      <c r="G106" s="12"/>
      <c r="H106" s="13">
        <v>1403</v>
      </c>
      <c r="I106" s="11" t="s">
        <v>210</v>
      </c>
      <c r="J106" s="13">
        <v>3</v>
      </c>
      <c r="K106" s="11" t="s">
        <v>18</v>
      </c>
      <c r="L106" s="13"/>
    </row>
    <row r="107" spans="1:12" x14ac:dyDescent="0.3">
      <c r="A107" s="5" t="s">
        <v>153</v>
      </c>
      <c r="B107" s="6" t="s">
        <v>21</v>
      </c>
      <c r="C107" s="6" t="s">
        <v>154</v>
      </c>
      <c r="D107" s="6" t="s">
        <v>155</v>
      </c>
      <c r="E107" s="6" t="s">
        <v>24</v>
      </c>
      <c r="F107" s="7">
        <v>44602</v>
      </c>
      <c r="G107" s="7"/>
      <c r="H107" s="8">
        <v>979</v>
      </c>
      <c r="I107" s="6" t="s">
        <v>156</v>
      </c>
      <c r="J107" s="8">
        <v>2</v>
      </c>
      <c r="K107" s="6" t="s">
        <v>18</v>
      </c>
      <c r="L107" s="8"/>
    </row>
    <row r="108" spans="1:12" hidden="1" x14ac:dyDescent="0.3">
      <c r="A108" s="10" t="s">
        <v>82</v>
      </c>
      <c r="B108" s="11" t="s">
        <v>42</v>
      </c>
      <c r="C108" s="11" t="s">
        <v>83</v>
      </c>
      <c r="D108" s="11" t="str">
        <f>_xlfn.CONCAT("employees.",  RIGHT('Turnover by department'!$A23, 4), "@jogate.com")</f>
        <v>employees.1043@jogate.com</v>
      </c>
      <c r="E108" s="11" t="s">
        <v>34</v>
      </c>
      <c r="F108" s="12">
        <v>44617</v>
      </c>
      <c r="G108" s="12">
        <v>45413</v>
      </c>
      <c r="H108" s="13">
        <v>612</v>
      </c>
      <c r="I108" s="11" t="s">
        <v>84</v>
      </c>
      <c r="J108" s="13">
        <v>2</v>
      </c>
      <c r="K108" s="11" t="s">
        <v>35</v>
      </c>
      <c r="L108" s="13"/>
    </row>
    <row r="109" spans="1:12" x14ac:dyDescent="0.3">
      <c r="A109" s="10" t="s">
        <v>41</v>
      </c>
      <c r="B109" s="11" t="s">
        <v>42</v>
      </c>
      <c r="C109" s="11" t="s">
        <v>43</v>
      </c>
      <c r="D109" s="11" t="str">
        <f>_xlfn.CONCAT("employees.",  RIGHT('Turnover by department'!$A9, 4), "@jogate.com")</f>
        <v>employees.1052@jogate.com</v>
      </c>
      <c r="E109" s="11" t="s">
        <v>16</v>
      </c>
      <c r="F109" s="12">
        <v>44630</v>
      </c>
      <c r="G109" s="12"/>
      <c r="H109" s="13">
        <v>2086</v>
      </c>
      <c r="I109" s="11"/>
      <c r="J109" s="13">
        <v>4</v>
      </c>
      <c r="K109" s="11" t="s">
        <v>18</v>
      </c>
      <c r="L109" s="13"/>
    </row>
    <row r="110" spans="1:12" x14ac:dyDescent="0.3">
      <c r="A110" s="5" t="s">
        <v>132</v>
      </c>
      <c r="B110" s="6" t="s">
        <v>21</v>
      </c>
      <c r="C110" s="6" t="s">
        <v>133</v>
      </c>
      <c r="D110" s="6" t="s">
        <v>134</v>
      </c>
      <c r="E110" s="6" t="s">
        <v>24</v>
      </c>
      <c r="F110" s="7">
        <v>44643</v>
      </c>
      <c r="G110" s="7"/>
      <c r="H110" s="8">
        <v>1811</v>
      </c>
      <c r="I110" s="6" t="s">
        <v>64</v>
      </c>
      <c r="J110" s="8">
        <v>3</v>
      </c>
      <c r="K110" s="6" t="s">
        <v>18</v>
      </c>
      <c r="L110" s="8"/>
    </row>
    <row r="111" spans="1:12" x14ac:dyDescent="0.3">
      <c r="A111" s="5" t="s">
        <v>12</v>
      </c>
      <c r="B111" s="6" t="s">
        <v>13</v>
      </c>
      <c r="C111" s="6" t="s">
        <v>14</v>
      </c>
      <c r="D111" s="6" t="s">
        <v>15</v>
      </c>
      <c r="E111" s="6" t="s">
        <v>16</v>
      </c>
      <c r="F111" s="7">
        <v>44668</v>
      </c>
      <c r="G111" s="7"/>
      <c r="H111" s="8">
        <v>892</v>
      </c>
      <c r="I111" s="6" t="s">
        <v>17</v>
      </c>
      <c r="J111" s="8">
        <v>2</v>
      </c>
      <c r="K111" s="6" t="s">
        <v>18</v>
      </c>
      <c r="L111" s="8"/>
    </row>
    <row r="112" spans="1:12" hidden="1" x14ac:dyDescent="0.3">
      <c r="A112" s="5" t="s">
        <v>85</v>
      </c>
      <c r="B112" s="6" t="s">
        <v>31</v>
      </c>
      <c r="C112" s="6" t="s">
        <v>74</v>
      </c>
      <c r="D112" s="6" t="str">
        <f>_xlfn.CONCAT("employees.",  RIGHT('Turnover by department'!$A24, 4), "@jogate.com")</f>
        <v>employees.1117@jogate.com</v>
      </c>
      <c r="E112" s="6" t="s">
        <v>34</v>
      </c>
      <c r="F112" s="7">
        <v>44683</v>
      </c>
      <c r="G112" s="7"/>
      <c r="H112" s="8">
        <v>436</v>
      </c>
      <c r="I112" s="6" t="s">
        <v>79</v>
      </c>
      <c r="J112" s="8">
        <v>5</v>
      </c>
      <c r="K112" s="6" t="s">
        <v>18</v>
      </c>
      <c r="L112" s="8"/>
    </row>
    <row r="113" spans="1:12" x14ac:dyDescent="0.3">
      <c r="A113" s="5" t="s">
        <v>26</v>
      </c>
      <c r="B113" s="6" t="s">
        <v>27</v>
      </c>
      <c r="C113" s="6" t="s">
        <v>28</v>
      </c>
      <c r="D113" s="6" t="s">
        <v>29</v>
      </c>
      <c r="E113" s="6" t="s">
        <v>16</v>
      </c>
      <c r="F113" s="7">
        <v>44694</v>
      </c>
      <c r="G113" s="7"/>
      <c r="H113" s="8">
        <v>1627</v>
      </c>
      <c r="I113" s="6"/>
      <c r="J113" s="8">
        <v>3</v>
      </c>
      <c r="K113" s="6" t="s">
        <v>18</v>
      </c>
      <c r="L113" s="8"/>
    </row>
    <row r="114" spans="1:12" x14ac:dyDescent="0.3">
      <c r="A114" s="10" t="s">
        <v>346</v>
      </c>
      <c r="B114" s="11" t="s">
        <v>13</v>
      </c>
      <c r="C114" s="11" t="s">
        <v>264</v>
      </c>
      <c r="D114" s="11" t="s">
        <v>347</v>
      </c>
      <c r="E114" s="11" t="s">
        <v>16</v>
      </c>
      <c r="F114" s="12">
        <v>44705</v>
      </c>
      <c r="G114" s="12"/>
      <c r="H114" s="13">
        <v>1020</v>
      </c>
      <c r="I114" s="11" t="s">
        <v>146</v>
      </c>
      <c r="J114" s="13">
        <v>5</v>
      </c>
      <c r="K114" s="11" t="s">
        <v>18</v>
      </c>
      <c r="L114" s="13"/>
    </row>
    <row r="115" spans="1:12" x14ac:dyDescent="0.3">
      <c r="A115" s="5" t="s">
        <v>268</v>
      </c>
      <c r="B115" s="6" t="s">
        <v>13</v>
      </c>
      <c r="C115" s="6" t="s">
        <v>264</v>
      </c>
      <c r="D115" s="6" t="s">
        <v>269</v>
      </c>
      <c r="E115" s="6" t="s">
        <v>16</v>
      </c>
      <c r="F115" s="7">
        <v>44712</v>
      </c>
      <c r="G115" s="7"/>
      <c r="H115" s="8">
        <v>299</v>
      </c>
      <c r="I115" s="6" t="s">
        <v>79</v>
      </c>
      <c r="J115" s="8">
        <v>4</v>
      </c>
      <c r="K115" s="6" t="s">
        <v>18</v>
      </c>
      <c r="L115" s="8"/>
    </row>
    <row r="116" spans="1:12" hidden="1" x14ac:dyDescent="0.3">
      <c r="A116" s="5" t="s">
        <v>69</v>
      </c>
      <c r="B116" s="6" t="s">
        <v>50</v>
      </c>
      <c r="C116" s="6" t="s">
        <v>70</v>
      </c>
      <c r="D116" s="6" t="str">
        <f>_xlfn.CONCAT("employees.",  RIGHT('Turnover by department'!$A16, 4), "@jogate.com")</f>
        <v>employees.1144@jogate.com</v>
      </c>
      <c r="E116" s="6" t="s">
        <v>34</v>
      </c>
      <c r="F116" s="7">
        <v>44731</v>
      </c>
      <c r="G116" s="7"/>
      <c r="H116" s="8">
        <v>1546</v>
      </c>
      <c r="I116" s="6" t="s">
        <v>71</v>
      </c>
      <c r="J116" s="8">
        <v>4</v>
      </c>
      <c r="K116" s="6" t="s">
        <v>18</v>
      </c>
      <c r="L116" s="8"/>
    </row>
    <row r="117" spans="1:12" x14ac:dyDescent="0.3">
      <c r="A117" s="10" t="s">
        <v>127</v>
      </c>
      <c r="B117" s="11" t="s">
        <v>50</v>
      </c>
      <c r="C117" s="11" t="s">
        <v>70</v>
      </c>
      <c r="D117" s="11" t="str">
        <f>_xlfn.CONCAT("employees.",  RIGHT('Turnover by department'!$A43, 4), "@jogate.com")</f>
        <v>employees.1186@jogate.com</v>
      </c>
      <c r="E117" s="11" t="s">
        <v>24</v>
      </c>
      <c r="F117" s="12">
        <v>44756</v>
      </c>
      <c r="G117" s="12"/>
      <c r="H117" s="13">
        <v>2090</v>
      </c>
      <c r="I117" s="11" t="s">
        <v>128</v>
      </c>
      <c r="J117" s="13">
        <v>3</v>
      </c>
      <c r="K117" s="11" t="s">
        <v>18</v>
      </c>
      <c r="L117" s="13"/>
    </row>
    <row r="118" spans="1:12" hidden="1" x14ac:dyDescent="0.3">
      <c r="A118" s="10" t="s">
        <v>75</v>
      </c>
      <c r="B118" s="11" t="s">
        <v>61</v>
      </c>
      <c r="C118" s="11" t="s">
        <v>62</v>
      </c>
      <c r="D118" s="11" t="str">
        <f>_xlfn.CONCAT("employees.",  RIGHT('Turnover by department'!$A19, 4), "@jogate.com")</f>
        <v>employees.1156@jogate.com</v>
      </c>
      <c r="E118" s="11" t="s">
        <v>34</v>
      </c>
      <c r="F118" s="12">
        <v>44772</v>
      </c>
      <c r="G118" s="12">
        <v>45521</v>
      </c>
      <c r="H118" s="13">
        <v>1454</v>
      </c>
      <c r="I118" s="11" t="s">
        <v>76</v>
      </c>
      <c r="J118" s="13">
        <v>4</v>
      </c>
      <c r="K118" s="11" t="s">
        <v>35</v>
      </c>
      <c r="L118" s="13"/>
    </row>
    <row r="119" spans="1:12" x14ac:dyDescent="0.3">
      <c r="A119" s="10" t="s">
        <v>146</v>
      </c>
      <c r="B119" s="11" t="s">
        <v>31</v>
      </c>
      <c r="C119" s="11" t="s">
        <v>32</v>
      </c>
      <c r="D119" s="11" t="s">
        <v>147</v>
      </c>
      <c r="E119" s="11" t="s">
        <v>16</v>
      </c>
      <c r="F119" s="12">
        <v>44808</v>
      </c>
      <c r="G119" s="12"/>
      <c r="H119" s="13">
        <v>1314</v>
      </c>
      <c r="I119" s="11"/>
      <c r="J119" s="13">
        <v>5</v>
      </c>
      <c r="K119" s="11" t="s">
        <v>18</v>
      </c>
      <c r="L119" s="13"/>
    </row>
    <row r="120" spans="1:12" x14ac:dyDescent="0.3">
      <c r="A120" s="5" t="s">
        <v>56</v>
      </c>
      <c r="B120" s="6" t="s">
        <v>31</v>
      </c>
      <c r="C120" s="6" t="s">
        <v>32</v>
      </c>
      <c r="D120" s="6" t="str">
        <f>_xlfn.CONCAT("employees.",  RIGHT('Turnover by department'!$A20, 4), "@jogate.com")</f>
        <v>employees.1174@jogate.com</v>
      </c>
      <c r="E120" s="6" t="s">
        <v>16</v>
      </c>
      <c r="F120" s="7">
        <v>44819</v>
      </c>
      <c r="G120" s="7"/>
      <c r="H120" s="8">
        <v>1080</v>
      </c>
      <c r="I120" s="6"/>
      <c r="J120" s="8">
        <v>5</v>
      </c>
      <c r="K120" s="6" t="s">
        <v>18</v>
      </c>
      <c r="L120" s="8"/>
    </row>
    <row r="121" spans="1:12" hidden="1" x14ac:dyDescent="0.3">
      <c r="A121" s="10" t="s">
        <v>242</v>
      </c>
      <c r="B121" s="11" t="s">
        <v>99</v>
      </c>
      <c r="C121" s="11" t="s">
        <v>138</v>
      </c>
      <c r="D121" s="11" t="str">
        <f>_xlfn.CONCAT("employees.",  RIGHT('Turnover by department'!$A111, 4), "@jogate.com")</f>
        <v>employees.1001@jogate.com</v>
      </c>
      <c r="E121" s="11" t="s">
        <v>34</v>
      </c>
      <c r="F121" s="12">
        <v>44836</v>
      </c>
      <c r="G121" s="12"/>
      <c r="H121" s="13">
        <v>1436</v>
      </c>
      <c r="I121" s="11" t="s">
        <v>146</v>
      </c>
      <c r="J121" s="13">
        <v>4</v>
      </c>
      <c r="K121" s="11" t="s">
        <v>18</v>
      </c>
      <c r="L121" s="13"/>
    </row>
    <row r="122" spans="1:12" x14ac:dyDescent="0.3">
      <c r="A122" s="5" t="s">
        <v>367</v>
      </c>
      <c r="B122" s="6" t="s">
        <v>50</v>
      </c>
      <c r="C122" s="6" t="s">
        <v>70</v>
      </c>
      <c r="D122" s="6" t="s">
        <v>368</v>
      </c>
      <c r="E122" s="6" t="s">
        <v>24</v>
      </c>
      <c r="F122" s="7">
        <v>44843</v>
      </c>
      <c r="G122" s="7"/>
      <c r="H122" s="8">
        <v>1991</v>
      </c>
      <c r="I122" s="6" t="s">
        <v>98</v>
      </c>
      <c r="J122" s="8">
        <v>4</v>
      </c>
      <c r="K122" s="6" t="s">
        <v>18</v>
      </c>
      <c r="L122" s="8"/>
    </row>
    <row r="123" spans="1:12" x14ac:dyDescent="0.3">
      <c r="A123" s="5" t="s">
        <v>334</v>
      </c>
      <c r="B123" s="6" t="s">
        <v>27</v>
      </c>
      <c r="C123" s="6" t="s">
        <v>90</v>
      </c>
      <c r="D123" s="6" t="s">
        <v>335</v>
      </c>
      <c r="E123" s="6" t="s">
        <v>24</v>
      </c>
      <c r="F123" s="7">
        <v>44868</v>
      </c>
      <c r="G123" s="7"/>
      <c r="H123" s="8">
        <v>1944</v>
      </c>
      <c r="I123" s="6" t="s">
        <v>164</v>
      </c>
      <c r="J123" s="8">
        <v>5</v>
      </c>
      <c r="K123" s="6" t="s">
        <v>18</v>
      </c>
      <c r="L123" s="8"/>
    </row>
    <row r="124" spans="1:12" x14ac:dyDescent="0.3">
      <c r="A124" s="10" t="s">
        <v>105</v>
      </c>
      <c r="B124" s="11" t="s">
        <v>50</v>
      </c>
      <c r="C124" s="11" t="s">
        <v>51</v>
      </c>
      <c r="D124" s="11" t="s">
        <v>106</v>
      </c>
      <c r="E124" s="11" t="s">
        <v>16</v>
      </c>
      <c r="F124" s="12">
        <v>44870</v>
      </c>
      <c r="G124" s="12"/>
      <c r="H124" s="13">
        <v>763</v>
      </c>
      <c r="I124" s="11" t="s">
        <v>107</v>
      </c>
      <c r="J124" s="13">
        <v>4</v>
      </c>
      <c r="K124" s="11" t="s">
        <v>18</v>
      </c>
      <c r="L124" s="13"/>
    </row>
    <row r="125" spans="1:12" x14ac:dyDescent="0.3">
      <c r="A125" s="10" t="s">
        <v>79</v>
      </c>
      <c r="B125" s="11" t="s">
        <v>42</v>
      </c>
      <c r="C125" s="11" t="s">
        <v>43</v>
      </c>
      <c r="D125" s="11" t="s">
        <v>172</v>
      </c>
      <c r="E125" s="11" t="s">
        <v>24</v>
      </c>
      <c r="F125" s="12">
        <v>44879</v>
      </c>
      <c r="G125" s="12">
        <v>45955</v>
      </c>
      <c r="H125" s="13">
        <v>286</v>
      </c>
      <c r="I125" s="11"/>
      <c r="J125" s="13">
        <v>4</v>
      </c>
      <c r="K125" s="11" t="s">
        <v>35</v>
      </c>
      <c r="L125" s="13"/>
    </row>
    <row r="126" spans="1:12" x14ac:dyDescent="0.3">
      <c r="A126" s="5" t="s">
        <v>374</v>
      </c>
      <c r="B126" s="6" t="s">
        <v>99</v>
      </c>
      <c r="C126" s="6" t="s">
        <v>138</v>
      </c>
      <c r="D126" s="6" t="s">
        <v>375</v>
      </c>
      <c r="E126" s="6" t="s">
        <v>16</v>
      </c>
      <c r="F126" s="7">
        <v>44884</v>
      </c>
      <c r="G126" s="7"/>
      <c r="H126" s="8">
        <v>1500</v>
      </c>
      <c r="I126" s="6" t="s">
        <v>37</v>
      </c>
      <c r="J126" s="8">
        <v>5</v>
      </c>
      <c r="K126" s="6" t="s">
        <v>18</v>
      </c>
      <c r="L126" s="8"/>
    </row>
    <row r="127" spans="1:12" x14ac:dyDescent="0.3">
      <c r="A127" s="10" t="s">
        <v>182</v>
      </c>
      <c r="B127" s="11" t="s">
        <v>50</v>
      </c>
      <c r="C127" s="11" t="s">
        <v>51</v>
      </c>
      <c r="D127" s="11" t="s">
        <v>183</v>
      </c>
      <c r="E127" s="11" t="s">
        <v>24</v>
      </c>
      <c r="F127" s="12">
        <v>44885</v>
      </c>
      <c r="G127" s="12"/>
      <c r="H127" s="13">
        <v>784</v>
      </c>
      <c r="I127" s="11" t="s">
        <v>88</v>
      </c>
      <c r="J127" s="13">
        <v>4</v>
      </c>
      <c r="K127" s="11" t="s">
        <v>18</v>
      </c>
      <c r="L127" s="13"/>
    </row>
    <row r="128" spans="1:12" hidden="1" x14ac:dyDescent="0.3">
      <c r="A128" s="5" t="s">
        <v>150</v>
      </c>
      <c r="B128" s="6" t="s">
        <v>99</v>
      </c>
      <c r="C128" s="6" t="s">
        <v>100</v>
      </c>
      <c r="D128" s="6" t="s">
        <v>378</v>
      </c>
      <c r="E128" s="6" t="s">
        <v>34</v>
      </c>
      <c r="F128" s="7">
        <v>44885</v>
      </c>
      <c r="G128" s="7"/>
      <c r="H128" s="8">
        <v>1400</v>
      </c>
      <c r="I128" s="6"/>
      <c r="J128" s="8">
        <v>4</v>
      </c>
      <c r="K128" s="6" t="s">
        <v>18</v>
      </c>
      <c r="L128" s="8"/>
    </row>
    <row r="129" spans="1:12" x14ac:dyDescent="0.3">
      <c r="A129" s="5" t="s">
        <v>326</v>
      </c>
      <c r="B129" s="6" t="s">
        <v>21</v>
      </c>
      <c r="C129" s="6" t="s">
        <v>154</v>
      </c>
      <c r="D129" s="6" t="s">
        <v>327</v>
      </c>
      <c r="E129" s="6" t="s">
        <v>24</v>
      </c>
      <c r="F129" s="7">
        <v>44925</v>
      </c>
      <c r="G129" s="7">
        <v>46877</v>
      </c>
      <c r="H129" s="8">
        <v>448</v>
      </c>
      <c r="I129" s="6" t="s">
        <v>237</v>
      </c>
      <c r="J129" s="8">
        <v>4</v>
      </c>
      <c r="K129" s="6" t="s">
        <v>35</v>
      </c>
      <c r="L129" s="8"/>
    </row>
    <row r="130" spans="1:12" x14ac:dyDescent="0.3">
      <c r="A130" s="10" t="s">
        <v>232</v>
      </c>
      <c r="B130" s="11" t="s">
        <v>45</v>
      </c>
      <c r="C130" s="11" t="s">
        <v>58</v>
      </c>
      <c r="D130" s="11" t="s">
        <v>233</v>
      </c>
      <c r="E130" s="11" t="s">
        <v>16</v>
      </c>
      <c r="F130" s="12">
        <v>44942</v>
      </c>
      <c r="G130" s="12"/>
      <c r="H130" s="13">
        <v>704</v>
      </c>
      <c r="I130" s="11" t="s">
        <v>98</v>
      </c>
      <c r="J130" s="13">
        <v>5</v>
      </c>
      <c r="K130" s="11" t="s">
        <v>18</v>
      </c>
      <c r="L130" s="13"/>
    </row>
    <row r="131" spans="1:12" x14ac:dyDescent="0.3">
      <c r="A131" s="10" t="s">
        <v>239</v>
      </c>
      <c r="B131" s="11" t="s">
        <v>50</v>
      </c>
      <c r="C131" s="11" t="s">
        <v>51</v>
      </c>
      <c r="D131" s="11" t="str">
        <f>_xlfn.CONCAT("employees.",  RIGHT('Turnover by department'!$A107, 4), "@jogate.com")</f>
        <v>employees.1053@jogate.com</v>
      </c>
      <c r="E131" s="11" t="s">
        <v>24</v>
      </c>
      <c r="F131" s="12">
        <v>44945</v>
      </c>
      <c r="G131" s="12">
        <v>45321</v>
      </c>
      <c r="H131" s="13">
        <v>1507</v>
      </c>
      <c r="I131" s="11" t="s">
        <v>40</v>
      </c>
      <c r="J131" s="13">
        <v>2</v>
      </c>
      <c r="K131" s="11" t="s">
        <v>35</v>
      </c>
      <c r="L131" s="13"/>
    </row>
    <row r="132" spans="1:12" x14ac:dyDescent="0.3">
      <c r="A132" s="5" t="s">
        <v>392</v>
      </c>
      <c r="B132" s="6" t="s">
        <v>31</v>
      </c>
      <c r="C132" s="6" t="s">
        <v>74</v>
      </c>
      <c r="D132" s="6" t="s">
        <v>393</v>
      </c>
      <c r="E132" s="6" t="s">
        <v>16</v>
      </c>
      <c r="F132" s="7">
        <v>44956</v>
      </c>
      <c r="G132" s="7"/>
      <c r="H132" s="8">
        <v>1593</v>
      </c>
      <c r="I132" s="6" t="s">
        <v>128</v>
      </c>
      <c r="J132" s="8">
        <v>3</v>
      </c>
      <c r="K132" s="6" t="s">
        <v>18</v>
      </c>
      <c r="L132" s="8"/>
    </row>
    <row r="133" spans="1:12" x14ac:dyDescent="0.3">
      <c r="A133" s="10" t="s">
        <v>20</v>
      </c>
      <c r="B133" s="11" t="s">
        <v>21</v>
      </c>
      <c r="C133" s="11" t="s">
        <v>22</v>
      </c>
      <c r="D133" s="11" t="s">
        <v>23</v>
      </c>
      <c r="E133" s="11" t="s">
        <v>24</v>
      </c>
      <c r="F133" s="12">
        <v>44964</v>
      </c>
      <c r="G133" s="12"/>
      <c r="H133" s="13">
        <v>421</v>
      </c>
      <c r="I133" s="11" t="s">
        <v>25</v>
      </c>
      <c r="J133" s="13">
        <v>2</v>
      </c>
      <c r="K133" s="11" t="s">
        <v>18</v>
      </c>
      <c r="L133" s="13"/>
    </row>
    <row r="134" spans="1:12" x14ac:dyDescent="0.3">
      <c r="A134" s="5" t="s">
        <v>206</v>
      </c>
      <c r="B134" s="6" t="s">
        <v>31</v>
      </c>
      <c r="C134" s="6" t="s">
        <v>74</v>
      </c>
      <c r="D134" s="6" t="s">
        <v>207</v>
      </c>
      <c r="E134" s="6" t="s">
        <v>24</v>
      </c>
      <c r="F134" s="7">
        <v>44993</v>
      </c>
      <c r="G134" s="7"/>
      <c r="H134" s="8">
        <v>628</v>
      </c>
      <c r="I134" s="6" t="s">
        <v>96</v>
      </c>
      <c r="J134" s="8">
        <v>5</v>
      </c>
      <c r="K134" s="6" t="s">
        <v>18</v>
      </c>
      <c r="L134" s="8"/>
    </row>
    <row r="135" spans="1:12" x14ac:dyDescent="0.3">
      <c r="A135" s="10" t="s">
        <v>64</v>
      </c>
      <c r="B135" s="11" t="s">
        <v>13</v>
      </c>
      <c r="C135" s="11" t="s">
        <v>14</v>
      </c>
      <c r="D135" s="11" t="s">
        <v>223</v>
      </c>
      <c r="E135" s="11" t="s">
        <v>24</v>
      </c>
      <c r="F135" s="12">
        <v>45018</v>
      </c>
      <c r="G135" s="12"/>
      <c r="H135" s="13">
        <v>1773</v>
      </c>
      <c r="I135" s="11" t="s">
        <v>110</v>
      </c>
      <c r="J135" s="13">
        <v>5</v>
      </c>
      <c r="K135" s="11" t="s">
        <v>18</v>
      </c>
      <c r="L135" s="13"/>
    </row>
    <row r="136" spans="1:12" x14ac:dyDescent="0.3">
      <c r="A136" s="5" t="s">
        <v>198</v>
      </c>
      <c r="B136" s="6" t="s">
        <v>50</v>
      </c>
      <c r="C136" s="6" t="s">
        <v>70</v>
      </c>
      <c r="D136" s="6" t="s">
        <v>199</v>
      </c>
      <c r="E136" s="6" t="s">
        <v>16</v>
      </c>
      <c r="F136" s="7">
        <v>45028</v>
      </c>
      <c r="G136" s="7">
        <v>45741</v>
      </c>
      <c r="H136" s="8">
        <v>648</v>
      </c>
      <c r="I136" s="6" t="s">
        <v>104</v>
      </c>
      <c r="J136" s="8">
        <v>4</v>
      </c>
      <c r="K136" s="6" t="s">
        <v>35</v>
      </c>
      <c r="L136" s="8"/>
    </row>
    <row r="137" spans="1:12" x14ac:dyDescent="0.3">
      <c r="A137" s="10" t="s">
        <v>372</v>
      </c>
      <c r="B137" s="11" t="s">
        <v>45</v>
      </c>
      <c r="C137" s="11" t="s">
        <v>46</v>
      </c>
      <c r="D137" s="11" t="s">
        <v>373</v>
      </c>
      <c r="E137" s="11" t="s">
        <v>24</v>
      </c>
      <c r="F137" s="12">
        <v>45038</v>
      </c>
      <c r="G137" s="12"/>
      <c r="H137" s="13">
        <v>423</v>
      </c>
      <c r="I137" s="11" t="s">
        <v>98</v>
      </c>
      <c r="J137" s="13">
        <v>4</v>
      </c>
      <c r="K137" s="11" t="s">
        <v>18</v>
      </c>
      <c r="L137" s="13"/>
    </row>
    <row r="138" spans="1:12" hidden="1" x14ac:dyDescent="0.3">
      <c r="A138" s="5" t="s">
        <v>211</v>
      </c>
      <c r="B138" s="6" t="s">
        <v>99</v>
      </c>
      <c r="C138" s="6" t="s">
        <v>138</v>
      </c>
      <c r="D138" s="6" t="s">
        <v>212</v>
      </c>
      <c r="E138" s="6" t="s">
        <v>34</v>
      </c>
      <c r="F138" s="7">
        <v>45058</v>
      </c>
      <c r="G138" s="7">
        <v>45437</v>
      </c>
      <c r="H138" s="8">
        <v>761</v>
      </c>
      <c r="I138" s="6" t="s">
        <v>68</v>
      </c>
      <c r="J138" s="8">
        <v>3</v>
      </c>
      <c r="K138" s="6" t="s">
        <v>35</v>
      </c>
      <c r="L138" s="8"/>
    </row>
    <row r="139" spans="1:12" hidden="1" x14ac:dyDescent="0.3">
      <c r="A139" s="10" t="s">
        <v>30</v>
      </c>
      <c r="B139" s="11" t="s">
        <v>31</v>
      </c>
      <c r="C139" s="11" t="s">
        <v>32</v>
      </c>
      <c r="D139" s="11" t="s">
        <v>33</v>
      </c>
      <c r="E139" s="11" t="s">
        <v>34</v>
      </c>
      <c r="F139" s="12">
        <v>45072</v>
      </c>
      <c r="G139" s="12">
        <v>45583</v>
      </c>
      <c r="H139" s="13">
        <v>870</v>
      </c>
      <c r="I139" s="11"/>
      <c r="J139" s="13">
        <v>3</v>
      </c>
      <c r="K139" s="11" t="s">
        <v>35</v>
      </c>
      <c r="L139" s="13"/>
    </row>
    <row r="140" spans="1:12" x14ac:dyDescent="0.3">
      <c r="A140" s="5" t="s">
        <v>357</v>
      </c>
      <c r="B140" s="6" t="s">
        <v>13</v>
      </c>
      <c r="C140" s="6" t="s">
        <v>160</v>
      </c>
      <c r="D140" s="6" t="s">
        <v>358</v>
      </c>
      <c r="E140" s="6" t="s">
        <v>24</v>
      </c>
      <c r="F140" s="7">
        <v>45078</v>
      </c>
      <c r="G140" s="7"/>
      <c r="H140" s="8">
        <v>1651</v>
      </c>
      <c r="I140" s="6" t="s">
        <v>237</v>
      </c>
      <c r="J140" s="8">
        <v>3</v>
      </c>
      <c r="K140" s="6" t="s">
        <v>18</v>
      </c>
      <c r="L140" s="8"/>
    </row>
    <row r="141" spans="1:12" x14ac:dyDescent="0.3">
      <c r="A141" s="5" t="s">
        <v>385</v>
      </c>
      <c r="B141" s="6" t="s">
        <v>31</v>
      </c>
      <c r="C141" s="6" t="s">
        <v>74</v>
      </c>
      <c r="D141" s="6" t="s">
        <v>386</v>
      </c>
      <c r="E141" s="6" t="s">
        <v>16</v>
      </c>
      <c r="F141" s="7">
        <v>45097</v>
      </c>
      <c r="G141" s="7"/>
      <c r="H141" s="8">
        <v>1124</v>
      </c>
      <c r="I141" s="6" t="s">
        <v>64</v>
      </c>
      <c r="J141" s="8">
        <v>3</v>
      </c>
      <c r="K141" s="6" t="s">
        <v>18</v>
      </c>
      <c r="L141" s="8"/>
    </row>
    <row r="142" spans="1:12" x14ac:dyDescent="0.3">
      <c r="A142" s="10" t="s">
        <v>305</v>
      </c>
      <c r="B142" s="11" t="s">
        <v>42</v>
      </c>
      <c r="C142" s="11" t="s">
        <v>83</v>
      </c>
      <c r="D142" s="11" t="s">
        <v>306</v>
      </c>
      <c r="E142" s="11" t="s">
        <v>24</v>
      </c>
      <c r="F142" s="12">
        <v>45109</v>
      </c>
      <c r="G142" s="12"/>
      <c r="H142" s="13">
        <v>1595</v>
      </c>
      <c r="I142" s="11" t="s">
        <v>37</v>
      </c>
      <c r="J142" s="13">
        <v>3</v>
      </c>
      <c r="K142" s="11" t="s">
        <v>18</v>
      </c>
      <c r="L142" s="13"/>
    </row>
    <row r="143" spans="1:12" x14ac:dyDescent="0.3">
      <c r="A143" s="10" t="s">
        <v>159</v>
      </c>
      <c r="B143" s="11" t="s">
        <v>13</v>
      </c>
      <c r="C143" s="11" t="s">
        <v>160</v>
      </c>
      <c r="D143" s="11" t="str">
        <f>_xlfn.CONCAT("employees.",  RIGHT('Turnover by department'!$A57, 4), "@jogate.com")</f>
        <v>employees.1158@jogate.com</v>
      </c>
      <c r="E143" s="11" t="s">
        <v>24</v>
      </c>
      <c r="F143" s="12">
        <v>45110</v>
      </c>
      <c r="G143" s="12">
        <v>45298</v>
      </c>
      <c r="H143" s="13">
        <v>312</v>
      </c>
      <c r="I143" s="11" t="s">
        <v>79</v>
      </c>
      <c r="J143" s="13">
        <v>2</v>
      </c>
      <c r="K143" s="11" t="s">
        <v>35</v>
      </c>
      <c r="L143" s="13"/>
    </row>
    <row r="144" spans="1:12" x14ac:dyDescent="0.3">
      <c r="A144" s="5" t="s">
        <v>89</v>
      </c>
      <c r="B144" s="6" t="s">
        <v>27</v>
      </c>
      <c r="C144" s="6" t="s">
        <v>90</v>
      </c>
      <c r="D144" s="6" t="str">
        <f>_xlfn.CONCAT("employees.",  RIGHT('Turnover by department'!$A26, 4), "@jogate.com")</f>
        <v>employees.1145@jogate.com</v>
      </c>
      <c r="E144" s="6" t="s">
        <v>16</v>
      </c>
      <c r="F144" s="7">
        <v>45159</v>
      </c>
      <c r="G144" s="7"/>
      <c r="H144" s="8">
        <v>746</v>
      </c>
      <c r="I144" s="6" t="s">
        <v>91</v>
      </c>
      <c r="J144" s="8">
        <v>4</v>
      </c>
      <c r="K144" s="6" t="s">
        <v>18</v>
      </c>
      <c r="L144" s="8"/>
    </row>
    <row r="145" spans="1:12" hidden="1" x14ac:dyDescent="0.3">
      <c r="A145" s="5" t="s">
        <v>314</v>
      </c>
      <c r="B145" s="6" t="s">
        <v>31</v>
      </c>
      <c r="C145" s="6" t="s">
        <v>74</v>
      </c>
      <c r="D145" s="6" t="s">
        <v>315</v>
      </c>
      <c r="E145" s="6" t="s">
        <v>34</v>
      </c>
      <c r="F145" s="7">
        <v>45162</v>
      </c>
      <c r="G145" s="7"/>
      <c r="H145" s="8">
        <v>1007</v>
      </c>
      <c r="I145" s="6" t="s">
        <v>94</v>
      </c>
      <c r="J145" s="8">
        <v>2</v>
      </c>
      <c r="K145" s="6" t="s">
        <v>18</v>
      </c>
      <c r="L145" s="8"/>
    </row>
    <row r="146" spans="1:12" hidden="1" x14ac:dyDescent="0.3">
      <c r="A146" s="5" t="s">
        <v>165</v>
      </c>
      <c r="B146" s="6" t="s">
        <v>21</v>
      </c>
      <c r="C146" s="6" t="s">
        <v>22</v>
      </c>
      <c r="D146" s="6" t="s">
        <v>166</v>
      </c>
      <c r="E146" s="6" t="s">
        <v>34</v>
      </c>
      <c r="F146" s="7">
        <v>45174</v>
      </c>
      <c r="G146" s="7"/>
      <c r="H146" s="8">
        <v>1827</v>
      </c>
      <c r="I146" s="6" t="s">
        <v>113</v>
      </c>
      <c r="J146" s="8">
        <v>5</v>
      </c>
      <c r="K146" s="6" t="s">
        <v>18</v>
      </c>
      <c r="L146" s="8"/>
    </row>
    <row r="147" spans="1:12" x14ac:dyDescent="0.3">
      <c r="A147" s="10" t="s">
        <v>39</v>
      </c>
      <c r="B147" s="11" t="s">
        <v>27</v>
      </c>
      <c r="C147" s="11" t="s">
        <v>28</v>
      </c>
      <c r="D147" s="11" t="str">
        <f>_xlfn.CONCAT("employees.",  RIGHT('Turnover by department'!$A7, 4), "@jogate.com")</f>
        <v>employees.1095@jogate.com</v>
      </c>
      <c r="E147" s="11" t="s">
        <v>24</v>
      </c>
      <c r="F147" s="12">
        <v>45181</v>
      </c>
      <c r="G147" s="12"/>
      <c r="H147" s="13">
        <v>1711</v>
      </c>
      <c r="I147" s="11"/>
      <c r="J147" s="13">
        <v>2</v>
      </c>
      <c r="K147" s="11" t="s">
        <v>18</v>
      </c>
      <c r="L147" s="13"/>
    </row>
    <row r="148" spans="1:12" x14ac:dyDescent="0.3">
      <c r="A148" s="10" t="s">
        <v>281</v>
      </c>
      <c r="B148" s="11" t="s">
        <v>61</v>
      </c>
      <c r="C148" s="11" t="s">
        <v>78</v>
      </c>
      <c r="D148" s="11" t="s">
        <v>282</v>
      </c>
      <c r="E148" s="11" t="s">
        <v>16</v>
      </c>
      <c r="F148" s="12">
        <v>45193</v>
      </c>
      <c r="G148" s="12"/>
      <c r="H148" s="13">
        <v>1207</v>
      </c>
      <c r="I148" s="11" t="s">
        <v>79</v>
      </c>
      <c r="J148" s="13">
        <v>2</v>
      </c>
      <c r="K148" s="11" t="s">
        <v>18</v>
      </c>
      <c r="L148" s="13"/>
    </row>
    <row r="149" spans="1:12" x14ac:dyDescent="0.3">
      <c r="A149" s="10" t="s">
        <v>235</v>
      </c>
      <c r="B149" s="11" t="s">
        <v>61</v>
      </c>
      <c r="C149" s="11" t="s">
        <v>62</v>
      </c>
      <c r="D149" s="11" t="str">
        <f>_xlfn.CONCAT("employees.",  RIGHT('Turnover by department'!$A103, 4), "@jogate.com")</f>
        <v>employees.1128@jogate.com</v>
      </c>
      <c r="E149" s="11" t="s">
        <v>16</v>
      </c>
      <c r="F149" s="12">
        <v>45198</v>
      </c>
      <c r="G149" s="12"/>
      <c r="H149" s="13">
        <v>502</v>
      </c>
      <c r="I149" s="11" t="s">
        <v>25</v>
      </c>
      <c r="J149" s="13">
        <v>2</v>
      </c>
      <c r="K149" s="11" t="s">
        <v>18</v>
      </c>
      <c r="L149" s="13"/>
    </row>
    <row r="150" spans="1:12" hidden="1" x14ac:dyDescent="0.3">
      <c r="A150" s="10" t="s">
        <v>225</v>
      </c>
      <c r="B150" s="11" t="s">
        <v>21</v>
      </c>
      <c r="C150" s="11" t="s">
        <v>154</v>
      </c>
      <c r="D150" s="11" t="s">
        <v>226</v>
      </c>
      <c r="E150" s="11" t="s">
        <v>34</v>
      </c>
      <c r="F150" s="12">
        <v>45212</v>
      </c>
      <c r="G150" s="12">
        <v>47092</v>
      </c>
      <c r="H150" s="13">
        <v>525</v>
      </c>
      <c r="I150" s="11" t="s">
        <v>128</v>
      </c>
      <c r="J150" s="13">
        <v>4</v>
      </c>
      <c r="K150" s="11" t="s">
        <v>35</v>
      </c>
      <c r="L150" s="13"/>
    </row>
    <row r="151" spans="1:12" hidden="1" x14ac:dyDescent="0.3">
      <c r="A151" s="10" t="s">
        <v>17</v>
      </c>
      <c r="B151" s="11" t="s">
        <v>42</v>
      </c>
      <c r="C151" s="11" t="s">
        <v>122</v>
      </c>
      <c r="D151" s="11" t="s">
        <v>398</v>
      </c>
      <c r="E151" s="11" t="s">
        <v>34</v>
      </c>
      <c r="F151" s="12">
        <v>45216</v>
      </c>
      <c r="G151" s="12"/>
      <c r="H151" s="13">
        <v>775</v>
      </c>
      <c r="I151" s="11"/>
      <c r="J151" s="13">
        <v>5</v>
      </c>
      <c r="K151" s="11" t="s">
        <v>18</v>
      </c>
      <c r="L151" s="13"/>
    </row>
    <row r="152" spans="1:12" hidden="1" x14ac:dyDescent="0.3">
      <c r="A152" s="5" t="s">
        <v>247</v>
      </c>
      <c r="B152" s="6" t="s">
        <v>61</v>
      </c>
      <c r="C152" s="6" t="s">
        <v>62</v>
      </c>
      <c r="D152" s="6" t="s">
        <v>248</v>
      </c>
      <c r="E152" s="6" t="s">
        <v>34</v>
      </c>
      <c r="F152" s="7">
        <v>45219</v>
      </c>
      <c r="G152" s="7"/>
      <c r="H152" s="8">
        <v>2077</v>
      </c>
      <c r="I152" s="6" t="s">
        <v>249</v>
      </c>
      <c r="J152" s="8">
        <v>4</v>
      </c>
      <c r="K152" s="6" t="s">
        <v>18</v>
      </c>
      <c r="L152" s="8"/>
    </row>
    <row r="153" spans="1:12" x14ac:dyDescent="0.3">
      <c r="A153" s="10" t="s">
        <v>57</v>
      </c>
      <c r="B153" s="11" t="s">
        <v>45</v>
      </c>
      <c r="C153" s="11" t="s">
        <v>58</v>
      </c>
      <c r="D153" s="11" t="str">
        <f>_xlfn.CONCAT("employees.",  RIGHT('Turnover by department'!$A13, 4), "@jogate.com")</f>
        <v>employees.1130@jogate.com</v>
      </c>
      <c r="E153" s="11" t="s">
        <v>24</v>
      </c>
      <c r="F153" s="12">
        <v>45231</v>
      </c>
      <c r="G153" s="12">
        <v>47133</v>
      </c>
      <c r="H153" s="13">
        <v>1423</v>
      </c>
      <c r="I153" s="11" t="s">
        <v>59</v>
      </c>
      <c r="J153" s="13">
        <v>5</v>
      </c>
      <c r="K153" s="11" t="s">
        <v>35</v>
      </c>
      <c r="L153" s="13"/>
    </row>
    <row r="154" spans="1:12" x14ac:dyDescent="0.3">
      <c r="A154" s="10" t="s">
        <v>237</v>
      </c>
      <c r="B154" s="11" t="s">
        <v>99</v>
      </c>
      <c r="C154" s="11" t="s">
        <v>100</v>
      </c>
      <c r="D154" s="11" t="str">
        <f>_xlfn.CONCAT("employees.",  RIGHT('Turnover by department'!$A105, 4), "@jogate.com")</f>
        <v>employees.1197@jogate.com</v>
      </c>
      <c r="E154" s="11" t="s">
        <v>16</v>
      </c>
      <c r="F154" s="12">
        <v>45236</v>
      </c>
      <c r="G154" s="12">
        <v>45783</v>
      </c>
      <c r="H154" s="13">
        <v>397</v>
      </c>
      <c r="I154" s="11"/>
      <c r="J154" s="13">
        <v>3</v>
      </c>
      <c r="K154" s="11" t="s">
        <v>35</v>
      </c>
      <c r="L154" s="13"/>
    </row>
    <row r="155" spans="1:12" hidden="1" x14ac:dyDescent="0.3">
      <c r="A155" s="10" t="s">
        <v>383</v>
      </c>
      <c r="B155" s="11" t="s">
        <v>27</v>
      </c>
      <c r="C155" s="11" t="s">
        <v>87</v>
      </c>
      <c r="D155" s="11" t="s">
        <v>384</v>
      </c>
      <c r="E155" s="11" t="s">
        <v>34</v>
      </c>
      <c r="F155" s="12">
        <v>45261</v>
      </c>
      <c r="G155" s="12"/>
      <c r="H155" s="13">
        <v>973</v>
      </c>
      <c r="I155" s="11" t="s">
        <v>128</v>
      </c>
      <c r="J155" s="13">
        <v>2</v>
      </c>
      <c r="K155" s="11" t="s">
        <v>18</v>
      </c>
      <c r="L155" s="13"/>
    </row>
    <row r="156" spans="1:12" x14ac:dyDescent="0.3">
      <c r="A156" s="10" t="s">
        <v>196</v>
      </c>
      <c r="B156" s="11" t="s">
        <v>21</v>
      </c>
      <c r="C156" s="11" t="s">
        <v>133</v>
      </c>
      <c r="D156" s="11" t="s">
        <v>197</v>
      </c>
      <c r="E156" s="11" t="s">
        <v>24</v>
      </c>
      <c r="F156" s="12">
        <v>45282</v>
      </c>
      <c r="G156" s="12"/>
      <c r="H156" s="13">
        <v>831</v>
      </c>
      <c r="I156" s="11" t="s">
        <v>107</v>
      </c>
      <c r="J156" s="13">
        <v>4</v>
      </c>
      <c r="K156" s="11" t="s">
        <v>18</v>
      </c>
      <c r="L156" s="13"/>
    </row>
    <row r="157" spans="1:12" hidden="1" x14ac:dyDescent="0.3">
      <c r="A157" s="5" t="s">
        <v>169</v>
      </c>
      <c r="B157" s="6" t="s">
        <v>13</v>
      </c>
      <c r="C157" s="6" t="s">
        <v>160</v>
      </c>
      <c r="D157" s="6" t="s">
        <v>170</v>
      </c>
      <c r="E157" s="6" t="s">
        <v>34</v>
      </c>
      <c r="F157" s="7">
        <v>45290</v>
      </c>
      <c r="G157" s="7"/>
      <c r="H157" s="8">
        <v>910</v>
      </c>
      <c r="I157" s="6" t="s">
        <v>171</v>
      </c>
      <c r="J157" s="8">
        <v>2</v>
      </c>
      <c r="K157" s="6" t="s">
        <v>18</v>
      </c>
      <c r="L157" s="8"/>
    </row>
    <row r="158" spans="1:12" x14ac:dyDescent="0.3">
      <c r="A158" s="5" t="s">
        <v>256</v>
      </c>
      <c r="B158" s="6" t="s">
        <v>45</v>
      </c>
      <c r="C158" s="6" t="s">
        <v>58</v>
      </c>
      <c r="D158" s="6" t="s">
        <v>257</v>
      </c>
      <c r="E158" s="6" t="s">
        <v>24</v>
      </c>
      <c r="F158" s="7">
        <v>45326</v>
      </c>
      <c r="G158" s="7"/>
      <c r="H158" s="8">
        <v>1522</v>
      </c>
      <c r="I158" s="6" t="s">
        <v>59</v>
      </c>
      <c r="J158" s="8">
        <v>5</v>
      </c>
      <c r="K158" s="6" t="s">
        <v>18</v>
      </c>
      <c r="L158" s="8"/>
    </row>
    <row r="159" spans="1:12" x14ac:dyDescent="0.3">
      <c r="A159" s="5" t="s">
        <v>173</v>
      </c>
      <c r="B159" s="6" t="s">
        <v>99</v>
      </c>
      <c r="C159" s="6" t="s">
        <v>138</v>
      </c>
      <c r="D159" s="6" t="s">
        <v>174</v>
      </c>
      <c r="E159" s="6" t="s">
        <v>24</v>
      </c>
      <c r="F159" s="7">
        <v>45336</v>
      </c>
      <c r="G159" s="7"/>
      <c r="H159" s="8">
        <v>956</v>
      </c>
      <c r="I159" s="6" t="s">
        <v>79</v>
      </c>
      <c r="J159" s="8">
        <v>3</v>
      </c>
      <c r="K159" s="6" t="s">
        <v>18</v>
      </c>
      <c r="L159" s="8"/>
    </row>
    <row r="160" spans="1:12" x14ac:dyDescent="0.3">
      <c r="A160" s="5" t="s">
        <v>76</v>
      </c>
      <c r="B160" s="6" t="s">
        <v>45</v>
      </c>
      <c r="C160" s="6" t="s">
        <v>97</v>
      </c>
      <c r="D160" s="6" t="str">
        <f>_xlfn.CONCAT("employees.",  RIGHT('Turnover by department'!$A30, 4), "@jogate.com")</f>
        <v>employees.1136@jogate.com</v>
      </c>
      <c r="E160" s="6" t="s">
        <v>24</v>
      </c>
      <c r="F160" s="7">
        <v>45350</v>
      </c>
      <c r="G160" s="7"/>
      <c r="H160" s="8">
        <v>625</v>
      </c>
      <c r="I160" s="6"/>
      <c r="J160" s="8">
        <v>2</v>
      </c>
      <c r="K160" s="6" t="s">
        <v>18</v>
      </c>
      <c r="L160" s="8"/>
    </row>
    <row r="161" spans="1:12" x14ac:dyDescent="0.3">
      <c r="A161" s="5" t="s">
        <v>180</v>
      </c>
      <c r="B161" s="6" t="s">
        <v>31</v>
      </c>
      <c r="C161" s="6" t="s">
        <v>74</v>
      </c>
      <c r="D161" s="6" t="s">
        <v>181</v>
      </c>
      <c r="E161" s="6" t="s">
        <v>24</v>
      </c>
      <c r="F161" s="7">
        <v>45354</v>
      </c>
      <c r="G161" s="7"/>
      <c r="H161" s="8">
        <v>678</v>
      </c>
      <c r="I161" s="6" t="s">
        <v>91</v>
      </c>
      <c r="J161" s="8">
        <v>4</v>
      </c>
      <c r="K161" s="6" t="s">
        <v>18</v>
      </c>
      <c r="L161" s="8"/>
    </row>
    <row r="162" spans="1:12" x14ac:dyDescent="0.3">
      <c r="A162" s="10" t="s">
        <v>401</v>
      </c>
      <c r="B162" s="11" t="s">
        <v>31</v>
      </c>
      <c r="C162" s="11" t="s">
        <v>74</v>
      </c>
      <c r="D162" s="11" t="s">
        <v>402</v>
      </c>
      <c r="E162" s="11" t="s">
        <v>24</v>
      </c>
      <c r="F162" s="12">
        <v>45356</v>
      </c>
      <c r="G162" s="12"/>
      <c r="H162" s="13">
        <v>1658</v>
      </c>
      <c r="I162" s="11" t="s">
        <v>146</v>
      </c>
      <c r="J162" s="13">
        <v>3</v>
      </c>
      <c r="K162" s="11" t="s">
        <v>18</v>
      </c>
      <c r="L162" s="13"/>
    </row>
    <row r="163" spans="1:12" x14ac:dyDescent="0.3">
      <c r="A163" s="5" t="s">
        <v>283</v>
      </c>
      <c r="B163" s="6" t="s">
        <v>61</v>
      </c>
      <c r="C163" s="6" t="s">
        <v>78</v>
      </c>
      <c r="D163" s="6" t="s">
        <v>284</v>
      </c>
      <c r="E163" s="6" t="s">
        <v>24</v>
      </c>
      <c r="F163" s="7">
        <v>45368</v>
      </c>
      <c r="G163" s="7"/>
      <c r="H163" s="8">
        <v>1405</v>
      </c>
      <c r="I163" s="6" t="s">
        <v>12</v>
      </c>
      <c r="J163" s="8">
        <v>2</v>
      </c>
      <c r="K163" s="6" t="s">
        <v>18</v>
      </c>
      <c r="L163" s="8"/>
    </row>
    <row r="164" spans="1:12" x14ac:dyDescent="0.3">
      <c r="A164" s="10" t="s">
        <v>115</v>
      </c>
      <c r="B164" s="11" t="s">
        <v>31</v>
      </c>
      <c r="C164" s="11" t="s">
        <v>74</v>
      </c>
      <c r="D164" s="11" t="str">
        <f>_xlfn.CONCAT("employees.",  RIGHT('Turnover by department'!$A37, 4), "@jogate.com")</f>
        <v>employees.1134@jogate.com</v>
      </c>
      <c r="E164" s="11" t="s">
        <v>24</v>
      </c>
      <c r="F164" s="12">
        <v>45371</v>
      </c>
      <c r="G164" s="12">
        <v>45843</v>
      </c>
      <c r="H164" s="13">
        <v>1411</v>
      </c>
      <c r="I164" s="11" t="s">
        <v>88</v>
      </c>
      <c r="J164" s="13">
        <v>2</v>
      </c>
      <c r="K164" s="11" t="s">
        <v>35</v>
      </c>
      <c r="L164" s="13"/>
    </row>
    <row r="165" spans="1:12" hidden="1" x14ac:dyDescent="0.3">
      <c r="A165" s="5" t="s">
        <v>80</v>
      </c>
      <c r="B165" s="6" t="s">
        <v>21</v>
      </c>
      <c r="C165" s="6" t="s">
        <v>22</v>
      </c>
      <c r="D165" s="6" t="str">
        <f>_xlfn.CONCAT("employees.",  RIGHT('Turnover by department'!$A22, 4), "@jogate.com")</f>
        <v>employees.1135@jogate.com</v>
      </c>
      <c r="E165" s="6" t="s">
        <v>34</v>
      </c>
      <c r="F165" s="7">
        <v>45376</v>
      </c>
      <c r="G165" s="7"/>
      <c r="H165" s="8">
        <v>985</v>
      </c>
      <c r="I165" s="6" t="s">
        <v>81</v>
      </c>
      <c r="J165" s="8">
        <v>5</v>
      </c>
      <c r="K165" s="6" t="s">
        <v>18</v>
      </c>
      <c r="L165" s="8"/>
    </row>
    <row r="166" spans="1:12" x14ac:dyDescent="0.3">
      <c r="A166" s="10" t="s">
        <v>191</v>
      </c>
      <c r="B166" s="11" t="s">
        <v>27</v>
      </c>
      <c r="C166" s="11" t="s">
        <v>87</v>
      </c>
      <c r="D166" s="11" t="str">
        <f>_xlfn.CONCAT("employees.",  RIGHT('Turnover by department'!$A77, 4), "@jogate.com")</f>
        <v>employees.1005@jogate.com</v>
      </c>
      <c r="E166" s="11" t="s">
        <v>24</v>
      </c>
      <c r="F166" s="12">
        <v>45386</v>
      </c>
      <c r="G166" s="12">
        <v>46992</v>
      </c>
      <c r="H166" s="13">
        <v>302</v>
      </c>
      <c r="I166" s="11" t="s">
        <v>12</v>
      </c>
      <c r="J166" s="13">
        <v>2</v>
      </c>
      <c r="K166" s="11" t="s">
        <v>35</v>
      </c>
      <c r="L166" s="13"/>
    </row>
    <row r="167" spans="1:12" x14ac:dyDescent="0.3">
      <c r="A167" s="10" t="s">
        <v>230</v>
      </c>
      <c r="B167" s="11" t="s">
        <v>13</v>
      </c>
      <c r="C167" s="11" t="s">
        <v>14</v>
      </c>
      <c r="D167" s="11" t="str">
        <f>_xlfn.CONCAT("employees.",  RIGHT('Turnover by department'!$A109, 4), "@jogate.com")</f>
        <v>employees.1008@jogate.com</v>
      </c>
      <c r="E167" s="11" t="s">
        <v>24</v>
      </c>
      <c r="F167" s="12">
        <v>45399</v>
      </c>
      <c r="G167" s="12"/>
      <c r="H167" s="13">
        <v>735</v>
      </c>
      <c r="I167" s="11" t="s">
        <v>171</v>
      </c>
      <c r="J167" s="13">
        <v>3</v>
      </c>
      <c r="K167" s="11" t="s">
        <v>18</v>
      </c>
      <c r="L167" s="13"/>
    </row>
    <row r="168" spans="1:12" x14ac:dyDescent="0.3">
      <c r="A168" s="10" t="s">
        <v>49</v>
      </c>
      <c r="B168" s="11" t="s">
        <v>50</v>
      </c>
      <c r="C168" s="11" t="s">
        <v>51</v>
      </c>
      <c r="D168" s="11" t="s">
        <v>52</v>
      </c>
      <c r="E168" s="11" t="s">
        <v>24</v>
      </c>
      <c r="F168" s="12">
        <v>45411</v>
      </c>
      <c r="G168" s="12"/>
      <c r="H168" s="13">
        <v>1699</v>
      </c>
      <c r="I168" s="11" t="s">
        <v>53</v>
      </c>
      <c r="J168" s="13">
        <v>2</v>
      </c>
      <c r="K168" s="11" t="s">
        <v>18</v>
      </c>
      <c r="L168" s="13"/>
    </row>
    <row r="169" spans="1:12" x14ac:dyDescent="0.3">
      <c r="A169" s="5" t="s">
        <v>114</v>
      </c>
      <c r="B169" s="6" t="s">
        <v>42</v>
      </c>
      <c r="C169" s="6" t="s">
        <v>83</v>
      </c>
      <c r="D169" s="6" t="str">
        <f>_xlfn.CONCAT("employees.",  RIGHT('Turnover by department'!$A36, 4), "@jogate.com")</f>
        <v>employees.1093@jogate.com</v>
      </c>
      <c r="E169" s="6" t="s">
        <v>24</v>
      </c>
      <c r="F169" s="7">
        <v>45417</v>
      </c>
      <c r="G169" s="7"/>
      <c r="H169" s="8">
        <v>404</v>
      </c>
      <c r="I169" s="6" t="s">
        <v>76</v>
      </c>
      <c r="J169" s="8">
        <v>2</v>
      </c>
      <c r="K169" s="6" t="s">
        <v>18</v>
      </c>
      <c r="L169" s="8"/>
    </row>
    <row r="170" spans="1:12" x14ac:dyDescent="0.3">
      <c r="A170" s="10" t="s">
        <v>111</v>
      </c>
      <c r="B170" s="11" t="s">
        <v>50</v>
      </c>
      <c r="C170" s="11" t="s">
        <v>70</v>
      </c>
      <c r="D170" s="11" t="s">
        <v>112</v>
      </c>
      <c r="E170" s="11" t="s">
        <v>24</v>
      </c>
      <c r="F170" s="12">
        <v>45421</v>
      </c>
      <c r="G170" s="12"/>
      <c r="H170" s="13">
        <v>1820</v>
      </c>
      <c r="I170" s="11" t="s">
        <v>113</v>
      </c>
      <c r="J170" s="13">
        <v>2</v>
      </c>
      <c r="K170" s="11" t="s">
        <v>18</v>
      </c>
      <c r="L170" s="13"/>
    </row>
    <row r="171" spans="1:12" x14ac:dyDescent="0.3">
      <c r="A171" s="5" t="s">
        <v>161</v>
      </c>
      <c r="B171" s="6" t="s">
        <v>21</v>
      </c>
      <c r="C171" s="6" t="s">
        <v>154</v>
      </c>
      <c r="D171" s="6" t="str">
        <f>_xlfn.CONCAT("employees.",  RIGHT('Turnover by department'!$A58, 4), "@jogate.com")</f>
        <v>employees.1178@jogate.com</v>
      </c>
      <c r="E171" s="6" t="s">
        <v>24</v>
      </c>
      <c r="F171" s="7">
        <v>45437</v>
      </c>
      <c r="G171" s="7"/>
      <c r="H171" s="8">
        <v>523</v>
      </c>
      <c r="I171" s="6" t="s">
        <v>113</v>
      </c>
      <c r="J171" s="8">
        <v>3</v>
      </c>
      <c r="K171" s="6" t="s">
        <v>18</v>
      </c>
      <c r="L171" s="8"/>
    </row>
    <row r="172" spans="1:12" x14ac:dyDescent="0.3">
      <c r="A172" s="10" t="s">
        <v>130</v>
      </c>
      <c r="B172" s="11" t="s">
        <v>27</v>
      </c>
      <c r="C172" s="11" t="s">
        <v>28</v>
      </c>
      <c r="D172" s="11" t="s">
        <v>131</v>
      </c>
      <c r="E172" s="11" t="s">
        <v>24</v>
      </c>
      <c r="F172" s="12">
        <v>45454</v>
      </c>
      <c r="G172" s="12"/>
      <c r="H172" s="13">
        <v>1687</v>
      </c>
      <c r="I172" s="11"/>
      <c r="J172" s="13">
        <v>5</v>
      </c>
      <c r="K172" s="11" t="s">
        <v>18</v>
      </c>
      <c r="L172" s="13"/>
    </row>
    <row r="173" spans="1:12" x14ac:dyDescent="0.3">
      <c r="A173" s="5" t="s">
        <v>370</v>
      </c>
      <c r="B173" s="6" t="s">
        <v>27</v>
      </c>
      <c r="C173" s="6" t="s">
        <v>28</v>
      </c>
      <c r="D173" s="6" t="s">
        <v>371</v>
      </c>
      <c r="E173" s="6" t="s">
        <v>16</v>
      </c>
      <c r="F173" s="7">
        <v>45454</v>
      </c>
      <c r="G173" s="7"/>
      <c r="H173" s="8">
        <v>1867</v>
      </c>
      <c r="I173" s="6"/>
      <c r="J173" s="8">
        <v>5</v>
      </c>
      <c r="K173" s="6" t="s">
        <v>18</v>
      </c>
      <c r="L173" s="8"/>
    </row>
    <row r="174" spans="1:12" x14ac:dyDescent="0.3">
      <c r="A174" s="10" t="s">
        <v>228</v>
      </c>
      <c r="B174" s="11" t="s">
        <v>45</v>
      </c>
      <c r="C174" s="11" t="s">
        <v>46</v>
      </c>
      <c r="D174" s="11" t="s">
        <v>229</v>
      </c>
      <c r="E174" s="11" t="s">
        <v>24</v>
      </c>
      <c r="F174" s="12">
        <v>45463</v>
      </c>
      <c r="G174" s="12"/>
      <c r="H174" s="13">
        <v>506</v>
      </c>
      <c r="I174" s="11" t="s">
        <v>230</v>
      </c>
      <c r="J174" s="13">
        <v>2</v>
      </c>
      <c r="K174" s="11" t="s">
        <v>18</v>
      </c>
      <c r="L174" s="13"/>
    </row>
    <row r="175" spans="1:12" hidden="1" x14ac:dyDescent="0.3">
      <c r="A175" s="10" t="s">
        <v>164</v>
      </c>
      <c r="B175" s="11" t="s">
        <v>31</v>
      </c>
      <c r="C175" s="11" t="s">
        <v>32</v>
      </c>
      <c r="D175" s="11" t="str">
        <f>_xlfn.CONCAT("employees.",  RIGHT('Turnover by department'!$A61, 4), "@jogate.com")</f>
        <v>employees.1089@jogate.com</v>
      </c>
      <c r="E175" s="11" t="s">
        <v>34</v>
      </c>
      <c r="F175" s="12">
        <v>45472</v>
      </c>
      <c r="G175" s="12"/>
      <c r="H175" s="13">
        <v>1182</v>
      </c>
      <c r="I175" s="11"/>
      <c r="J175" s="13">
        <v>3</v>
      </c>
      <c r="K175" s="11" t="s">
        <v>18</v>
      </c>
      <c r="L175" s="13"/>
    </row>
    <row r="176" spans="1:12" x14ac:dyDescent="0.3">
      <c r="A176" s="5" t="s">
        <v>94</v>
      </c>
      <c r="B176" s="6" t="s">
        <v>31</v>
      </c>
      <c r="C176" s="6" t="s">
        <v>32</v>
      </c>
      <c r="D176" s="6" t="str">
        <f>_xlfn.CONCAT("employees.",  RIGHT('Turnover by department'!$A28, 4), "@jogate.com")</f>
        <v>employees.1020@jogate.com</v>
      </c>
      <c r="E176" s="6" t="s">
        <v>24</v>
      </c>
      <c r="F176" s="7">
        <v>45492</v>
      </c>
      <c r="G176" s="7">
        <v>47312</v>
      </c>
      <c r="H176" s="8">
        <v>1907</v>
      </c>
      <c r="I176" s="6"/>
      <c r="J176" s="8">
        <v>4</v>
      </c>
      <c r="K176" s="6" t="s">
        <v>35</v>
      </c>
      <c r="L176" s="8"/>
    </row>
    <row r="177" spans="1:12" hidden="1" x14ac:dyDescent="0.3">
      <c r="A177" s="5" t="s">
        <v>272</v>
      </c>
      <c r="B177" s="6" t="s">
        <v>61</v>
      </c>
      <c r="C177" s="6" t="s">
        <v>62</v>
      </c>
      <c r="D177" s="6" t="s">
        <v>273</v>
      </c>
      <c r="E177" s="6" t="s">
        <v>34</v>
      </c>
      <c r="F177" s="7">
        <v>45503</v>
      </c>
      <c r="G177" s="7"/>
      <c r="H177" s="8">
        <v>498</v>
      </c>
      <c r="I177" s="6" t="s">
        <v>17</v>
      </c>
      <c r="J177" s="8">
        <v>2</v>
      </c>
      <c r="K177" s="6" t="s">
        <v>18</v>
      </c>
      <c r="L177" s="8"/>
    </row>
    <row r="178" spans="1:12" x14ac:dyDescent="0.3">
      <c r="A178" s="10" t="s">
        <v>365</v>
      </c>
      <c r="B178" s="11" t="s">
        <v>42</v>
      </c>
      <c r="C178" s="11" t="s">
        <v>83</v>
      </c>
      <c r="D178" s="11" t="s">
        <v>366</v>
      </c>
      <c r="E178" s="11" t="s">
        <v>16</v>
      </c>
      <c r="F178" s="12">
        <v>45512</v>
      </c>
      <c r="G178" s="12"/>
      <c r="H178" s="13">
        <v>1056</v>
      </c>
      <c r="I178" s="11" t="s">
        <v>117</v>
      </c>
      <c r="J178" s="13">
        <v>2</v>
      </c>
      <c r="K178" s="11" t="s">
        <v>18</v>
      </c>
      <c r="L178" s="13"/>
    </row>
    <row r="179" spans="1:12" hidden="1" x14ac:dyDescent="0.3">
      <c r="A179" s="10" t="s">
        <v>186</v>
      </c>
      <c r="B179" s="11" t="s">
        <v>50</v>
      </c>
      <c r="C179" s="11" t="s">
        <v>51</v>
      </c>
      <c r="D179" s="11" t="s">
        <v>187</v>
      </c>
      <c r="E179" s="11" t="s">
        <v>34</v>
      </c>
      <c r="F179" s="12">
        <v>45515</v>
      </c>
      <c r="G179" s="12">
        <v>45785</v>
      </c>
      <c r="H179" s="13">
        <v>720</v>
      </c>
      <c r="I179" s="11" t="s">
        <v>98</v>
      </c>
      <c r="J179" s="13">
        <v>3</v>
      </c>
      <c r="K179" s="11" t="s">
        <v>35</v>
      </c>
      <c r="L179" s="13"/>
    </row>
    <row r="180" spans="1:12" x14ac:dyDescent="0.3">
      <c r="A180" s="5" t="s">
        <v>116</v>
      </c>
      <c r="B180" s="6" t="s">
        <v>27</v>
      </c>
      <c r="C180" s="6" t="s">
        <v>87</v>
      </c>
      <c r="D180" s="6" t="str">
        <f>_xlfn.CONCAT("employees.",  RIGHT('Turnover by department'!$A38, 4), "@jogate.com")</f>
        <v>employees.1147@jogate.com</v>
      </c>
      <c r="E180" s="6" t="s">
        <v>16</v>
      </c>
      <c r="F180" s="7">
        <v>45549</v>
      </c>
      <c r="G180" s="7"/>
      <c r="H180" s="8">
        <v>1886</v>
      </c>
      <c r="I180" s="6" t="s">
        <v>17</v>
      </c>
      <c r="J180" s="8">
        <v>5</v>
      </c>
      <c r="K180" s="6" t="s">
        <v>18</v>
      </c>
      <c r="L180" s="8"/>
    </row>
    <row r="181" spans="1:12" x14ac:dyDescent="0.3">
      <c r="A181" s="5" t="s">
        <v>300</v>
      </c>
      <c r="B181" s="6" t="s">
        <v>27</v>
      </c>
      <c r="C181" s="6" t="s">
        <v>90</v>
      </c>
      <c r="D181" s="6" t="s">
        <v>301</v>
      </c>
      <c r="E181" s="6" t="s">
        <v>16</v>
      </c>
      <c r="F181" s="7">
        <v>45581</v>
      </c>
      <c r="G181" s="7"/>
      <c r="H181" s="8">
        <v>529</v>
      </c>
      <c r="I181" s="6" t="s">
        <v>64</v>
      </c>
      <c r="J181" s="8">
        <v>3</v>
      </c>
      <c r="K181" s="6" t="s">
        <v>18</v>
      </c>
      <c r="L181" s="8"/>
    </row>
    <row r="182" spans="1:12" hidden="1" x14ac:dyDescent="0.3">
      <c r="A182" s="5" t="s">
        <v>93</v>
      </c>
      <c r="B182" s="6" t="s">
        <v>45</v>
      </c>
      <c r="C182" s="6" t="s">
        <v>97</v>
      </c>
      <c r="D182" s="6" t="s">
        <v>227</v>
      </c>
      <c r="E182" s="6" t="s">
        <v>34</v>
      </c>
      <c r="F182" s="7">
        <v>45584</v>
      </c>
      <c r="G182" s="7"/>
      <c r="H182" s="8">
        <v>1787</v>
      </c>
      <c r="I182" s="6"/>
      <c r="J182" s="8">
        <v>5</v>
      </c>
      <c r="K182" s="6" t="s">
        <v>18</v>
      </c>
      <c r="L182" s="8"/>
    </row>
    <row r="183" spans="1:12" x14ac:dyDescent="0.3">
      <c r="A183" s="5" t="s">
        <v>236</v>
      </c>
      <c r="B183" s="6" t="s">
        <v>13</v>
      </c>
      <c r="C183" s="6" t="s">
        <v>14</v>
      </c>
      <c r="D183" s="6" t="str">
        <f>_xlfn.CONCAT("employees.",  RIGHT('Turnover by department'!$A104, 4), "@jogate.com")</f>
        <v>employees.1091@jogate.com</v>
      </c>
      <c r="E183" s="6" t="s">
        <v>24</v>
      </c>
      <c r="F183" s="7">
        <v>45626</v>
      </c>
      <c r="G183" s="7"/>
      <c r="H183" s="8">
        <v>1711</v>
      </c>
      <c r="I183" s="6" t="s">
        <v>210</v>
      </c>
      <c r="J183" s="8">
        <v>5</v>
      </c>
      <c r="K183" s="6" t="s">
        <v>18</v>
      </c>
      <c r="L183" s="8"/>
    </row>
    <row r="184" spans="1:12" x14ac:dyDescent="0.3">
      <c r="A184" s="5" t="s">
        <v>190</v>
      </c>
      <c r="B184" s="6" t="s">
        <v>21</v>
      </c>
      <c r="C184" s="6" t="s">
        <v>22</v>
      </c>
      <c r="D184" s="6" t="str">
        <f>_xlfn.CONCAT("employees.",  RIGHT('Turnover by department'!$A76, 4), "@jogate.com")</f>
        <v>employees.1165@jogate.com</v>
      </c>
      <c r="E184" s="6" t="s">
        <v>24</v>
      </c>
      <c r="F184" s="7">
        <v>45704</v>
      </c>
      <c r="G184" s="7"/>
      <c r="H184" s="8">
        <v>352</v>
      </c>
      <c r="I184" s="6" t="s">
        <v>17</v>
      </c>
      <c r="J184" s="8">
        <v>3</v>
      </c>
      <c r="K184" s="6" t="s">
        <v>18</v>
      </c>
      <c r="L184" s="8"/>
    </row>
    <row r="185" spans="1:12" hidden="1" x14ac:dyDescent="0.3">
      <c r="A185" s="10" t="s">
        <v>379</v>
      </c>
      <c r="B185" s="11" t="s">
        <v>13</v>
      </c>
      <c r="C185" s="11" t="s">
        <v>264</v>
      </c>
      <c r="D185" s="11" t="s">
        <v>380</v>
      </c>
      <c r="E185" s="11" t="s">
        <v>34</v>
      </c>
      <c r="F185" s="12">
        <v>45731</v>
      </c>
      <c r="G185" s="12"/>
      <c r="H185" s="13">
        <v>1471</v>
      </c>
      <c r="I185" s="11" t="s">
        <v>146</v>
      </c>
      <c r="J185" s="13">
        <v>5</v>
      </c>
      <c r="K185" s="11" t="s">
        <v>18</v>
      </c>
      <c r="L185" s="13"/>
    </row>
    <row r="186" spans="1:12" x14ac:dyDescent="0.3">
      <c r="A186" s="5" t="s">
        <v>158</v>
      </c>
      <c r="B186" s="6" t="s">
        <v>45</v>
      </c>
      <c r="C186" s="6" t="s">
        <v>46</v>
      </c>
      <c r="D186" s="6" t="str">
        <f>_xlfn.CONCAT("employees.",  RIGHT('Turnover by department'!$A56, 4), "@jogate.com")</f>
        <v>employees.1088@jogate.com</v>
      </c>
      <c r="E186" s="6" t="s">
        <v>24</v>
      </c>
      <c r="F186" s="7">
        <v>45750</v>
      </c>
      <c r="G186" s="7"/>
      <c r="H186" s="8">
        <v>915</v>
      </c>
      <c r="I186" s="6" t="s">
        <v>79</v>
      </c>
      <c r="J186" s="8">
        <v>5</v>
      </c>
      <c r="K186" s="6" t="s">
        <v>18</v>
      </c>
      <c r="L186" s="8"/>
    </row>
    <row r="187" spans="1:12" x14ac:dyDescent="0.3">
      <c r="A187" s="10" t="s">
        <v>88</v>
      </c>
      <c r="B187" s="11" t="s">
        <v>13</v>
      </c>
      <c r="C187" s="11" t="s">
        <v>14</v>
      </c>
      <c r="D187" s="11" t="s">
        <v>258</v>
      </c>
      <c r="E187" s="11" t="s">
        <v>16</v>
      </c>
      <c r="F187" s="12">
        <v>45751</v>
      </c>
      <c r="G187" s="12"/>
      <c r="H187" s="13">
        <v>1919</v>
      </c>
      <c r="I187" s="11" t="s">
        <v>79</v>
      </c>
      <c r="J187" s="13">
        <v>3</v>
      </c>
      <c r="K187" s="11" t="s">
        <v>18</v>
      </c>
      <c r="L187" s="13"/>
    </row>
    <row r="188" spans="1:12" x14ac:dyDescent="0.3">
      <c r="A188" s="5" t="s">
        <v>148</v>
      </c>
      <c r="B188" s="6" t="s">
        <v>61</v>
      </c>
      <c r="C188" s="6" t="s">
        <v>62</v>
      </c>
      <c r="D188" s="6" t="s">
        <v>149</v>
      </c>
      <c r="E188" s="6" t="s">
        <v>16</v>
      </c>
      <c r="F188" s="7">
        <v>45754</v>
      </c>
      <c r="G188" s="7"/>
      <c r="H188" s="8">
        <v>1192</v>
      </c>
      <c r="I188" s="6" t="s">
        <v>150</v>
      </c>
      <c r="J188" s="8">
        <v>4</v>
      </c>
      <c r="K188" s="6" t="s">
        <v>18</v>
      </c>
      <c r="L188" s="8"/>
    </row>
    <row r="189" spans="1:12" hidden="1" x14ac:dyDescent="0.3">
      <c r="A189" s="10" t="s">
        <v>121</v>
      </c>
      <c r="B189" s="11" t="s">
        <v>42</v>
      </c>
      <c r="C189" s="11" t="s">
        <v>122</v>
      </c>
      <c r="D189" s="11" t="s">
        <v>123</v>
      </c>
      <c r="E189" s="11" t="s">
        <v>34</v>
      </c>
      <c r="F189" s="12">
        <v>45767</v>
      </c>
      <c r="G189" s="12"/>
      <c r="H189" s="13">
        <v>1144</v>
      </c>
      <c r="I189" s="11"/>
      <c r="J189" s="13">
        <v>3</v>
      </c>
      <c r="K189" s="11" t="s">
        <v>18</v>
      </c>
      <c r="L189" s="13"/>
    </row>
    <row r="190" spans="1:12" x14ac:dyDescent="0.3">
      <c r="A190" s="5" t="s">
        <v>60</v>
      </c>
      <c r="B190" s="6" t="s">
        <v>61</v>
      </c>
      <c r="C190" s="6" t="s">
        <v>62</v>
      </c>
      <c r="D190" s="6" t="s">
        <v>63</v>
      </c>
      <c r="E190" s="6" t="s">
        <v>24</v>
      </c>
      <c r="F190" s="7">
        <v>45770</v>
      </c>
      <c r="G190" s="7"/>
      <c r="H190" s="8">
        <v>1524</v>
      </c>
      <c r="I190" s="6" t="s">
        <v>64</v>
      </c>
      <c r="J190" s="8">
        <v>3</v>
      </c>
      <c r="K190" s="6" t="s">
        <v>18</v>
      </c>
      <c r="L190" s="8"/>
    </row>
    <row r="191" spans="1:12" hidden="1" x14ac:dyDescent="0.3">
      <c r="A191" s="5" t="s">
        <v>238</v>
      </c>
      <c r="B191" s="6" t="s">
        <v>61</v>
      </c>
      <c r="C191" s="6" t="s">
        <v>78</v>
      </c>
      <c r="D191" s="6" t="str">
        <f>_xlfn.CONCAT("employees.",  RIGHT('Turnover by department'!$A106, 4), "@jogate.com")</f>
        <v>employees.1118@jogate.com</v>
      </c>
      <c r="E191" s="6" t="s">
        <v>34</v>
      </c>
      <c r="F191" s="7">
        <v>45771</v>
      </c>
      <c r="G191" s="7"/>
      <c r="H191" s="8">
        <v>1985</v>
      </c>
      <c r="I191" s="6" t="s">
        <v>96</v>
      </c>
      <c r="J191" s="8">
        <v>3</v>
      </c>
      <c r="K191" s="6" t="s">
        <v>18</v>
      </c>
      <c r="L191" s="8"/>
    </row>
    <row r="192" spans="1:12" x14ac:dyDescent="0.3">
      <c r="A192" s="10" t="s">
        <v>216</v>
      </c>
      <c r="B192" s="11" t="s">
        <v>45</v>
      </c>
      <c r="C192" s="11" t="s">
        <v>58</v>
      </c>
      <c r="D192" s="11" t="s">
        <v>217</v>
      </c>
      <c r="E192" s="11" t="s">
        <v>24</v>
      </c>
      <c r="F192" s="12">
        <v>45773</v>
      </c>
      <c r="G192" s="12">
        <v>46809</v>
      </c>
      <c r="H192" s="13">
        <v>1097</v>
      </c>
      <c r="I192" s="11" t="s">
        <v>88</v>
      </c>
      <c r="J192" s="13">
        <v>2</v>
      </c>
      <c r="K192" s="11" t="s">
        <v>35</v>
      </c>
      <c r="L192" s="13"/>
    </row>
    <row r="193" spans="1:12" x14ac:dyDescent="0.3">
      <c r="A193" s="5" t="s">
        <v>143</v>
      </c>
      <c r="B193" s="6" t="s">
        <v>31</v>
      </c>
      <c r="C193" s="6" t="s">
        <v>74</v>
      </c>
      <c r="D193" s="6" t="s">
        <v>144</v>
      </c>
      <c r="E193" s="6" t="s">
        <v>24</v>
      </c>
      <c r="F193" s="7">
        <v>45785</v>
      </c>
      <c r="G193" s="7"/>
      <c r="H193" s="8">
        <v>1798</v>
      </c>
      <c r="I193" s="6" t="s">
        <v>145</v>
      </c>
      <c r="J193" s="8">
        <v>2</v>
      </c>
      <c r="K193" s="6" t="s">
        <v>18</v>
      </c>
      <c r="L193" s="8"/>
    </row>
    <row r="194" spans="1:12" x14ac:dyDescent="0.3">
      <c r="A194" s="5" t="s">
        <v>259</v>
      </c>
      <c r="B194" s="6" t="s">
        <v>21</v>
      </c>
      <c r="C194" s="6" t="s">
        <v>22</v>
      </c>
      <c r="D194" s="6" t="s">
        <v>260</v>
      </c>
      <c r="E194" s="6" t="s">
        <v>24</v>
      </c>
      <c r="F194" s="7">
        <v>45805</v>
      </c>
      <c r="G194" s="7"/>
      <c r="H194" s="8">
        <v>1677</v>
      </c>
      <c r="I194" s="6" t="s">
        <v>141</v>
      </c>
      <c r="J194" s="8">
        <v>4</v>
      </c>
      <c r="K194" s="6" t="s">
        <v>18</v>
      </c>
      <c r="L194" s="8"/>
    </row>
    <row r="195" spans="1:12" hidden="1" x14ac:dyDescent="0.3">
      <c r="A195" s="10" t="s">
        <v>208</v>
      </c>
      <c r="B195" s="11" t="s">
        <v>61</v>
      </c>
      <c r="C195" s="11" t="s">
        <v>62</v>
      </c>
      <c r="D195" s="11" t="s">
        <v>209</v>
      </c>
      <c r="E195" s="11" t="s">
        <v>34</v>
      </c>
      <c r="F195" s="12">
        <v>45831</v>
      </c>
      <c r="G195" s="12"/>
      <c r="H195" s="13">
        <v>1699</v>
      </c>
      <c r="I195" s="11" t="s">
        <v>210</v>
      </c>
      <c r="J195" s="13">
        <v>2</v>
      </c>
      <c r="K195" s="11" t="s">
        <v>18</v>
      </c>
      <c r="L195" s="13"/>
    </row>
    <row r="196" spans="1:12" hidden="1" x14ac:dyDescent="0.3">
      <c r="A196" s="5" t="s">
        <v>156</v>
      </c>
      <c r="B196" s="6" t="s">
        <v>45</v>
      </c>
      <c r="C196" s="6" t="s">
        <v>97</v>
      </c>
      <c r="D196" s="6" t="s">
        <v>276</v>
      </c>
      <c r="E196" s="6" t="s">
        <v>34</v>
      </c>
      <c r="F196" s="7">
        <v>45870</v>
      </c>
      <c r="G196" s="7"/>
      <c r="H196" s="8">
        <v>1570</v>
      </c>
      <c r="I196" s="6"/>
      <c r="J196" s="8">
        <v>5</v>
      </c>
      <c r="K196" s="6" t="s">
        <v>18</v>
      </c>
      <c r="L196" s="8"/>
    </row>
    <row r="197" spans="1:12" hidden="1" x14ac:dyDescent="0.3">
      <c r="A197" s="5" t="s">
        <v>163</v>
      </c>
      <c r="B197" s="6" t="s">
        <v>21</v>
      </c>
      <c r="C197" s="6" t="s">
        <v>154</v>
      </c>
      <c r="D197" s="6" t="str">
        <f>_xlfn.CONCAT("employees.",  RIGHT('Turnover by department'!$A60, 4), "@jogate.com")</f>
        <v>employees.1112@jogate.com</v>
      </c>
      <c r="E197" s="6" t="s">
        <v>34</v>
      </c>
      <c r="F197" s="7">
        <v>45871</v>
      </c>
      <c r="G197" s="7"/>
      <c r="H197" s="8">
        <v>2027</v>
      </c>
      <c r="I197" s="6" t="s">
        <v>84</v>
      </c>
      <c r="J197" s="8">
        <v>5</v>
      </c>
      <c r="K197" s="6" t="s">
        <v>18</v>
      </c>
      <c r="L197" s="8"/>
    </row>
    <row r="198" spans="1:12" hidden="1" x14ac:dyDescent="0.3">
      <c r="A198" s="10" t="s">
        <v>92</v>
      </c>
      <c r="B198" s="11" t="s">
        <v>21</v>
      </c>
      <c r="C198" s="11" t="s">
        <v>22</v>
      </c>
      <c r="D198" s="11" t="str">
        <f>_xlfn.CONCAT("employees.",  RIGHT('Turnover by department'!$A27, 4), "@jogate.com")</f>
        <v>employees.1092@jogate.com</v>
      </c>
      <c r="E198" s="11" t="s">
        <v>34</v>
      </c>
      <c r="F198" s="12">
        <v>45912</v>
      </c>
      <c r="G198" s="12"/>
      <c r="H198" s="13">
        <v>1456</v>
      </c>
      <c r="I198" s="11" t="s">
        <v>93</v>
      </c>
      <c r="J198" s="13">
        <v>4</v>
      </c>
      <c r="K198" s="11" t="s">
        <v>18</v>
      </c>
      <c r="L198" s="13"/>
    </row>
    <row r="199" spans="1:12" hidden="1" x14ac:dyDescent="0.3">
      <c r="A199" s="5" t="s">
        <v>184</v>
      </c>
      <c r="B199" s="6" t="s">
        <v>21</v>
      </c>
      <c r="C199" s="6" t="s">
        <v>22</v>
      </c>
      <c r="D199" s="6" t="s">
        <v>185</v>
      </c>
      <c r="E199" s="6" t="s">
        <v>34</v>
      </c>
      <c r="F199" s="7">
        <v>45940</v>
      </c>
      <c r="G199" s="7">
        <v>47501</v>
      </c>
      <c r="H199" s="8">
        <v>593</v>
      </c>
      <c r="I199" s="6" t="s">
        <v>84</v>
      </c>
      <c r="J199" s="8">
        <v>2</v>
      </c>
      <c r="K199" s="6" t="s">
        <v>35</v>
      </c>
      <c r="L199" s="8"/>
    </row>
    <row r="200" spans="1:12" hidden="1" x14ac:dyDescent="0.3">
      <c r="A200" s="10" t="s">
        <v>266</v>
      </c>
      <c r="B200" s="11" t="s">
        <v>61</v>
      </c>
      <c r="C200" s="11" t="s">
        <v>62</v>
      </c>
      <c r="D200" s="11" t="s">
        <v>267</v>
      </c>
      <c r="E200" s="11" t="s">
        <v>34</v>
      </c>
      <c r="F200" s="12">
        <v>45943</v>
      </c>
      <c r="G200" s="12"/>
      <c r="H200" s="13">
        <v>1350</v>
      </c>
      <c r="I200" s="11" t="s">
        <v>237</v>
      </c>
      <c r="J200" s="13">
        <v>3</v>
      </c>
      <c r="K200" s="11" t="s">
        <v>18</v>
      </c>
      <c r="L200" s="13"/>
    </row>
    <row r="201" spans="1:12" ht="15" thickBot="1" x14ac:dyDescent="0.35">
      <c r="A201" s="5" t="s">
        <v>363</v>
      </c>
      <c r="B201" s="6" t="s">
        <v>27</v>
      </c>
      <c r="C201" s="6" t="s">
        <v>87</v>
      </c>
      <c r="D201" s="6" t="s">
        <v>364</v>
      </c>
      <c r="E201" s="6" t="s">
        <v>16</v>
      </c>
      <c r="F201" s="7">
        <v>45946</v>
      </c>
      <c r="G201" s="7"/>
      <c r="H201" s="8">
        <v>1153</v>
      </c>
      <c r="I201" s="6" t="s">
        <v>94</v>
      </c>
      <c r="J201" s="8">
        <v>4</v>
      </c>
      <c r="K201" s="6" t="s">
        <v>18</v>
      </c>
      <c r="L201" s="8"/>
    </row>
    <row r="202" spans="1:12" ht="15" thickTop="1" x14ac:dyDescent="0.3">
      <c r="A202" s="15"/>
      <c r="B202" s="16"/>
      <c r="C202" s="16"/>
      <c r="D202" s="16"/>
      <c r="E202" s="16"/>
      <c r="F202" s="17"/>
      <c r="G202" s="17"/>
      <c r="H202" s="2"/>
      <c r="I202" s="16"/>
      <c r="J202" s="2"/>
      <c r="K202" s="16"/>
      <c r="L202" s="2"/>
    </row>
  </sheetData>
  <autoFilter ref="A1:L201" xr:uid="{5DF3B1B0-615D-4DA6-AE41-448F4D696987}">
    <filterColumn colId="4">
      <filters>
        <filter val="Female"/>
        <filter val="Male"/>
      </filters>
    </filterColumn>
    <sortState xmlns:xlrd2="http://schemas.microsoft.com/office/spreadsheetml/2017/richdata2" ref="A2:L201">
      <sortCondition ref="F1:F201"/>
    </sortState>
  </autoFilter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3B1B0-615D-4DA6-AE41-448F4D696987}">
  <sheetPr filterMode="1"/>
  <dimension ref="A1:Q202"/>
  <sheetViews>
    <sheetView topLeftCell="J1" zoomScale="85" workbookViewId="0">
      <selection activeCell="U64" sqref="U64"/>
    </sheetView>
  </sheetViews>
  <sheetFormatPr defaultRowHeight="14.4" x14ac:dyDescent="0.3"/>
  <cols>
    <col min="1" max="1" width="13.33203125" bestFit="1" customWidth="1"/>
    <col min="2" max="2" width="21.88671875" bestFit="1" customWidth="1"/>
    <col min="3" max="3" width="20.44140625" bestFit="1" customWidth="1"/>
    <col min="4" max="4" width="30.33203125" customWidth="1"/>
    <col min="5" max="5" width="9.33203125" bestFit="1" customWidth="1"/>
    <col min="6" max="6" width="22.88671875" customWidth="1"/>
    <col min="7" max="7" width="17.44140625" bestFit="1" customWidth="1"/>
    <col min="8" max="8" width="8.44140625" bestFit="1" customWidth="1"/>
    <col min="9" max="9" width="12.5546875" bestFit="1" customWidth="1"/>
    <col min="10" max="10" width="19.77734375" bestFit="1" customWidth="1"/>
    <col min="11" max="11" width="12.77734375" customWidth="1"/>
    <col min="12" max="12" width="11.77734375" bestFit="1" customWidth="1"/>
    <col min="14" max="14" width="22.88671875" bestFit="1" customWidth="1"/>
    <col min="15" max="15" width="16.44140625" bestFit="1" customWidth="1"/>
    <col min="16" max="16" width="5.33203125" bestFit="1" customWidth="1"/>
    <col min="17" max="18" width="11.44140625" bestFit="1" customWidth="1"/>
    <col min="19" max="19" width="11.21875" bestFit="1" customWidth="1"/>
    <col min="20" max="20" width="10.44140625" bestFit="1" customWidth="1"/>
    <col min="21" max="21" width="11.44140625" bestFit="1" customWidth="1"/>
  </cols>
  <sheetData>
    <row r="1" spans="1:16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6" hidden="1" x14ac:dyDescent="0.3">
      <c r="A2" s="5" t="s">
        <v>330</v>
      </c>
      <c r="B2" s="6" t="s">
        <v>13</v>
      </c>
      <c r="C2" s="6" t="s">
        <v>264</v>
      </c>
      <c r="D2" s="6" t="s">
        <v>331</v>
      </c>
      <c r="E2" s="6" t="s">
        <v>34</v>
      </c>
      <c r="F2" s="7">
        <v>43120</v>
      </c>
      <c r="G2" s="7"/>
      <c r="H2" s="8">
        <v>403</v>
      </c>
      <c r="I2" s="6" t="s">
        <v>141</v>
      </c>
      <c r="J2" s="8">
        <v>2</v>
      </c>
      <c r="K2" s="6" t="s">
        <v>18</v>
      </c>
      <c r="L2" s="8"/>
      <c r="N2" s="9" t="s">
        <v>19</v>
      </c>
    </row>
    <row r="3" spans="1:16" x14ac:dyDescent="0.3">
      <c r="A3" s="5" t="s">
        <v>108</v>
      </c>
      <c r="B3" s="6" t="s">
        <v>27</v>
      </c>
      <c r="C3" s="6" t="s">
        <v>87</v>
      </c>
      <c r="D3" s="6" t="s">
        <v>109</v>
      </c>
      <c r="E3" s="6" t="s">
        <v>24</v>
      </c>
      <c r="F3" s="7">
        <v>43130</v>
      </c>
      <c r="G3" s="7"/>
      <c r="H3" s="8">
        <v>1785</v>
      </c>
      <c r="I3" s="6" t="s">
        <v>110</v>
      </c>
      <c r="J3" s="8">
        <v>4</v>
      </c>
      <c r="K3" s="6" t="s">
        <v>18</v>
      </c>
      <c r="L3" s="8"/>
      <c r="N3" s="14"/>
    </row>
    <row r="4" spans="1:16" x14ac:dyDescent="0.3">
      <c r="A4" s="5" t="s">
        <v>338</v>
      </c>
      <c r="B4" s="6" t="s">
        <v>50</v>
      </c>
      <c r="C4" s="6" t="s">
        <v>70</v>
      </c>
      <c r="D4" s="6" t="s">
        <v>339</v>
      </c>
      <c r="E4" s="6" t="s">
        <v>24</v>
      </c>
      <c r="F4" s="7">
        <v>43138</v>
      </c>
      <c r="G4" s="7">
        <v>44980</v>
      </c>
      <c r="H4" s="8">
        <v>551</v>
      </c>
      <c r="I4" s="6" t="s">
        <v>68</v>
      </c>
      <c r="J4" s="8">
        <v>3</v>
      </c>
      <c r="K4" s="6" t="s">
        <v>35</v>
      </c>
      <c r="L4" s="8"/>
      <c r="N4" s="9"/>
    </row>
    <row r="5" spans="1:16" x14ac:dyDescent="0.3">
      <c r="A5" s="10" t="s">
        <v>65</v>
      </c>
      <c r="B5" s="11" t="s">
        <v>61</v>
      </c>
      <c r="C5" s="11" t="s">
        <v>66</v>
      </c>
      <c r="D5" s="11" t="s">
        <v>67</v>
      </c>
      <c r="E5" s="11" t="s">
        <v>24</v>
      </c>
      <c r="F5" s="12">
        <v>43162</v>
      </c>
      <c r="G5" s="12"/>
      <c r="H5" s="13">
        <v>1150</v>
      </c>
      <c r="I5" s="11" t="s">
        <v>68</v>
      </c>
      <c r="J5" s="13">
        <v>2</v>
      </c>
      <c r="K5" s="11" t="s">
        <v>18</v>
      </c>
      <c r="L5" s="13"/>
      <c r="N5" s="14"/>
      <c r="O5" s="20"/>
      <c r="P5" s="20"/>
    </row>
    <row r="6" spans="1:16" hidden="1" x14ac:dyDescent="0.3">
      <c r="A6" s="10" t="s">
        <v>261</v>
      </c>
      <c r="B6" s="11" t="s">
        <v>31</v>
      </c>
      <c r="C6" s="11" t="s">
        <v>74</v>
      </c>
      <c r="D6" s="11" t="s">
        <v>262</v>
      </c>
      <c r="E6" s="11" t="s">
        <v>34</v>
      </c>
      <c r="F6" s="12">
        <v>43171</v>
      </c>
      <c r="G6" s="12"/>
      <c r="H6" s="13">
        <v>1528</v>
      </c>
      <c r="I6" s="11" t="s">
        <v>130</v>
      </c>
      <c r="J6" s="13">
        <v>5</v>
      </c>
      <c r="K6" s="11" t="s">
        <v>18</v>
      </c>
      <c r="L6" s="13"/>
      <c r="N6" s="9" t="s">
        <v>38</v>
      </c>
      <c r="O6" t="s">
        <v>403</v>
      </c>
      <c r="P6">
        <f>AVERAGE(H2:H201)</f>
        <v>1201.8150000000001</v>
      </c>
    </row>
    <row r="7" spans="1:16" x14ac:dyDescent="0.3">
      <c r="A7" s="5" t="s">
        <v>81</v>
      </c>
      <c r="B7" s="6" t="s">
        <v>99</v>
      </c>
      <c r="C7" s="6" t="s">
        <v>100</v>
      </c>
      <c r="D7" s="6" t="s">
        <v>224</v>
      </c>
      <c r="E7" s="6" t="s">
        <v>24</v>
      </c>
      <c r="F7" s="7">
        <v>43184</v>
      </c>
      <c r="G7" s="7">
        <v>44764</v>
      </c>
      <c r="H7" s="8">
        <v>1696</v>
      </c>
      <c r="I7" s="6"/>
      <c r="J7" s="8">
        <v>5</v>
      </c>
      <c r="K7" s="6" t="s">
        <v>35</v>
      </c>
      <c r="L7" s="8"/>
      <c r="N7" s="14"/>
      <c r="O7" s="20"/>
      <c r="P7" s="20"/>
    </row>
    <row r="8" spans="1:16" x14ac:dyDescent="0.3">
      <c r="A8" s="5" t="s">
        <v>279</v>
      </c>
      <c r="B8" s="6" t="s">
        <v>21</v>
      </c>
      <c r="C8" s="6" t="s">
        <v>133</v>
      </c>
      <c r="D8" s="6" t="s">
        <v>280</v>
      </c>
      <c r="E8" s="6" t="s">
        <v>24</v>
      </c>
      <c r="F8" s="7">
        <v>43189</v>
      </c>
      <c r="G8" s="7"/>
      <c r="H8" s="8">
        <v>338</v>
      </c>
      <c r="I8" s="6" t="s">
        <v>140</v>
      </c>
      <c r="J8" s="8">
        <v>3</v>
      </c>
      <c r="K8" s="6" t="s">
        <v>18</v>
      </c>
      <c r="L8" s="8"/>
      <c r="N8" s="9"/>
      <c r="O8" s="20"/>
      <c r="P8" s="21"/>
    </row>
    <row r="9" spans="1:16" x14ac:dyDescent="0.3">
      <c r="A9" s="10" t="s">
        <v>151</v>
      </c>
      <c r="B9" s="11" t="s">
        <v>13</v>
      </c>
      <c r="C9" s="11" t="s">
        <v>14</v>
      </c>
      <c r="D9" s="11" t="s">
        <v>152</v>
      </c>
      <c r="E9" s="11" t="s">
        <v>24</v>
      </c>
      <c r="F9" s="12">
        <v>43200</v>
      </c>
      <c r="G9" s="12"/>
      <c r="H9" s="13">
        <v>318</v>
      </c>
      <c r="I9" s="11" t="s">
        <v>91</v>
      </c>
      <c r="J9" s="13">
        <v>2</v>
      </c>
      <c r="K9" s="11" t="s">
        <v>18</v>
      </c>
      <c r="L9" s="13"/>
      <c r="O9" s="20"/>
      <c r="P9" s="21"/>
    </row>
    <row r="10" spans="1:16" x14ac:dyDescent="0.3">
      <c r="A10" s="10" t="s">
        <v>71</v>
      </c>
      <c r="B10" s="11" t="s">
        <v>42</v>
      </c>
      <c r="C10" s="11" t="s">
        <v>43</v>
      </c>
      <c r="D10" s="11" t="s">
        <v>369</v>
      </c>
      <c r="E10" s="11" t="s">
        <v>24</v>
      </c>
      <c r="F10" s="12">
        <v>43205</v>
      </c>
      <c r="G10" s="12"/>
      <c r="H10" s="13">
        <v>1646</v>
      </c>
      <c r="I10" s="11"/>
      <c r="J10" s="13">
        <v>2</v>
      </c>
      <c r="K10" s="11" t="s">
        <v>18</v>
      </c>
      <c r="L10" s="13"/>
    </row>
    <row r="11" spans="1:16" x14ac:dyDescent="0.3">
      <c r="A11" s="10" t="s">
        <v>353</v>
      </c>
      <c r="B11" s="11" t="s">
        <v>45</v>
      </c>
      <c r="C11" s="11" t="s">
        <v>97</v>
      </c>
      <c r="D11" s="11" t="s">
        <v>354</v>
      </c>
      <c r="E11" s="11" t="s">
        <v>16</v>
      </c>
      <c r="F11" s="12">
        <v>43229</v>
      </c>
      <c r="G11" s="12"/>
      <c r="H11" s="13">
        <v>1440</v>
      </c>
      <c r="I11" s="11"/>
      <c r="J11" s="13">
        <v>3</v>
      </c>
      <c r="K11" s="11" t="s">
        <v>18</v>
      </c>
      <c r="L11" s="13"/>
    </row>
    <row r="12" spans="1:16" hidden="1" x14ac:dyDescent="0.3">
      <c r="A12" s="10" t="s">
        <v>145</v>
      </c>
      <c r="B12" s="11" t="s">
        <v>31</v>
      </c>
      <c r="C12" s="11" t="s">
        <v>32</v>
      </c>
      <c r="D12" s="11" t="s">
        <v>387</v>
      </c>
      <c r="E12" s="11" t="s">
        <v>34</v>
      </c>
      <c r="F12" s="12">
        <v>43229</v>
      </c>
      <c r="G12" s="12">
        <v>44618</v>
      </c>
      <c r="H12" s="13">
        <v>2082</v>
      </c>
      <c r="I12" s="11"/>
      <c r="J12" s="13">
        <v>2</v>
      </c>
      <c r="K12" s="11" t="s">
        <v>35</v>
      </c>
      <c r="L12" s="13"/>
    </row>
    <row r="13" spans="1:16" hidden="1" x14ac:dyDescent="0.3">
      <c r="A13" s="10" t="s">
        <v>277</v>
      </c>
      <c r="B13" s="11" t="s">
        <v>21</v>
      </c>
      <c r="C13" s="11" t="s">
        <v>22</v>
      </c>
      <c r="D13" s="11" t="s">
        <v>278</v>
      </c>
      <c r="E13" s="11" t="s">
        <v>34</v>
      </c>
      <c r="F13" s="12">
        <v>43244</v>
      </c>
      <c r="G13" s="12"/>
      <c r="H13" s="13">
        <v>1088</v>
      </c>
      <c r="I13" s="11" t="s">
        <v>79</v>
      </c>
      <c r="J13" s="13">
        <v>3</v>
      </c>
      <c r="K13" s="11" t="s">
        <v>18</v>
      </c>
      <c r="L13" s="13"/>
    </row>
    <row r="14" spans="1:16" hidden="1" x14ac:dyDescent="0.3">
      <c r="A14" s="5" t="s">
        <v>322</v>
      </c>
      <c r="B14" s="6" t="s">
        <v>21</v>
      </c>
      <c r="C14" s="6" t="s">
        <v>154</v>
      </c>
      <c r="D14" s="6" t="s">
        <v>323</v>
      </c>
      <c r="E14" s="6" t="s">
        <v>34</v>
      </c>
      <c r="F14" s="7">
        <v>43263</v>
      </c>
      <c r="G14" s="7"/>
      <c r="H14" s="8">
        <v>1236</v>
      </c>
      <c r="I14" s="6" t="s">
        <v>17</v>
      </c>
      <c r="J14" s="8">
        <v>5</v>
      </c>
      <c r="K14" s="6" t="s">
        <v>18</v>
      </c>
      <c r="L14" s="8"/>
      <c r="N14" s="18" t="s">
        <v>10</v>
      </c>
      <c r="O14" t="s">
        <v>35</v>
      </c>
    </row>
    <row r="15" spans="1:16" x14ac:dyDescent="0.3">
      <c r="A15" s="10" t="s">
        <v>204</v>
      </c>
      <c r="B15" s="11" t="s">
        <v>50</v>
      </c>
      <c r="C15" s="11" t="s">
        <v>51</v>
      </c>
      <c r="D15" s="11" t="s">
        <v>205</v>
      </c>
      <c r="E15" s="11" t="s">
        <v>16</v>
      </c>
      <c r="F15" s="12">
        <v>43280</v>
      </c>
      <c r="G15" s="12"/>
      <c r="H15" s="13">
        <v>1554</v>
      </c>
      <c r="I15" s="11" t="s">
        <v>88</v>
      </c>
      <c r="J15" s="13">
        <v>4</v>
      </c>
      <c r="K15" s="11" t="s">
        <v>18</v>
      </c>
      <c r="L15" s="13"/>
    </row>
    <row r="16" spans="1:16" x14ac:dyDescent="0.3">
      <c r="A16" s="10" t="s">
        <v>104</v>
      </c>
      <c r="B16" s="11" t="s">
        <v>45</v>
      </c>
      <c r="C16" s="11" t="s">
        <v>97</v>
      </c>
      <c r="D16" s="11" t="s">
        <v>302</v>
      </c>
      <c r="E16" s="11" t="s">
        <v>16</v>
      </c>
      <c r="F16" s="12">
        <v>43289</v>
      </c>
      <c r="G16" s="12"/>
      <c r="H16" s="13">
        <v>814</v>
      </c>
      <c r="I16" s="11"/>
      <c r="J16" s="13">
        <v>5</v>
      </c>
      <c r="K16" s="11" t="s">
        <v>18</v>
      </c>
      <c r="L16" s="13"/>
      <c r="N16" s="18" t="s">
        <v>408</v>
      </c>
      <c r="O16" s="18" t="s">
        <v>407</v>
      </c>
    </row>
    <row r="17" spans="1:17" x14ac:dyDescent="0.3">
      <c r="A17" s="5" t="s">
        <v>110</v>
      </c>
      <c r="B17" s="6" t="s">
        <v>31</v>
      </c>
      <c r="C17" s="6" t="s">
        <v>32</v>
      </c>
      <c r="D17" s="6" t="str">
        <f>_xlfn.CONCAT("employees.",  RIGHT('Terminated by gender'!$A108, 4), "@jogate.com")</f>
        <v>employees.1022@jogate.com</v>
      </c>
      <c r="E17" s="6" t="s">
        <v>16</v>
      </c>
      <c r="F17" s="7">
        <v>43292</v>
      </c>
      <c r="G17" s="7">
        <v>44267</v>
      </c>
      <c r="H17" s="8">
        <v>1594</v>
      </c>
      <c r="I17" s="6"/>
      <c r="J17" s="8">
        <v>2</v>
      </c>
      <c r="K17" s="6" t="s">
        <v>35</v>
      </c>
      <c r="L17" s="8"/>
      <c r="N17" s="18" t="s">
        <v>404</v>
      </c>
      <c r="O17" t="s">
        <v>24</v>
      </c>
      <c r="P17" t="s">
        <v>16</v>
      </c>
      <c r="Q17" t="s">
        <v>405</v>
      </c>
    </row>
    <row r="18" spans="1:17" x14ac:dyDescent="0.3">
      <c r="A18" s="5" t="s">
        <v>263</v>
      </c>
      <c r="B18" s="6" t="s">
        <v>13</v>
      </c>
      <c r="C18" s="6" t="s">
        <v>264</v>
      </c>
      <c r="D18" s="6" t="s">
        <v>265</v>
      </c>
      <c r="E18" s="6" t="s">
        <v>24</v>
      </c>
      <c r="F18" s="7">
        <v>43308</v>
      </c>
      <c r="G18" s="7"/>
      <c r="H18" s="8">
        <v>1591</v>
      </c>
      <c r="I18" s="6" t="s">
        <v>130</v>
      </c>
      <c r="J18" s="8">
        <v>5</v>
      </c>
      <c r="K18" s="6" t="s">
        <v>18</v>
      </c>
      <c r="L18" s="8"/>
      <c r="N18" s="19" t="s">
        <v>61</v>
      </c>
      <c r="O18" s="1"/>
      <c r="P18" s="1">
        <v>1</v>
      </c>
      <c r="Q18" s="1">
        <v>1</v>
      </c>
    </row>
    <row r="19" spans="1:17" hidden="1" x14ac:dyDescent="0.3">
      <c r="A19" s="10" t="s">
        <v>324</v>
      </c>
      <c r="B19" s="11" t="s">
        <v>61</v>
      </c>
      <c r="C19" s="11" t="s">
        <v>62</v>
      </c>
      <c r="D19" s="11" t="s">
        <v>325</v>
      </c>
      <c r="E19" s="11" t="s">
        <v>34</v>
      </c>
      <c r="F19" s="12">
        <v>43323</v>
      </c>
      <c r="G19" s="12"/>
      <c r="H19" s="13">
        <v>1899</v>
      </c>
      <c r="I19" s="11" t="s">
        <v>146</v>
      </c>
      <c r="J19" s="13">
        <v>2</v>
      </c>
      <c r="K19" s="11" t="s">
        <v>18</v>
      </c>
      <c r="L19" s="13"/>
      <c r="N19" s="19" t="s">
        <v>21</v>
      </c>
      <c r="O19" s="1">
        <v>2</v>
      </c>
      <c r="P19" s="1">
        <v>1</v>
      </c>
      <c r="Q19" s="1">
        <v>3</v>
      </c>
    </row>
    <row r="20" spans="1:17" hidden="1" x14ac:dyDescent="0.3">
      <c r="A20" s="10" t="s">
        <v>140</v>
      </c>
      <c r="B20" s="11" t="s">
        <v>31</v>
      </c>
      <c r="C20" s="11" t="s">
        <v>32</v>
      </c>
      <c r="D20" s="11" t="s">
        <v>356</v>
      </c>
      <c r="E20" s="11" t="s">
        <v>34</v>
      </c>
      <c r="F20" s="12">
        <v>43336</v>
      </c>
      <c r="G20" s="12"/>
      <c r="H20" s="13">
        <v>1529</v>
      </c>
      <c r="I20" s="11"/>
      <c r="J20" s="13">
        <v>3</v>
      </c>
      <c r="K20" s="11" t="s">
        <v>18</v>
      </c>
      <c r="L20" s="13"/>
      <c r="N20" s="19" t="s">
        <v>27</v>
      </c>
      <c r="O20" s="1">
        <v>1</v>
      </c>
      <c r="P20" s="1"/>
      <c r="Q20" s="1">
        <v>1</v>
      </c>
    </row>
    <row r="21" spans="1:17" x14ac:dyDescent="0.3">
      <c r="A21" s="5" t="s">
        <v>188</v>
      </c>
      <c r="B21" s="6" t="s">
        <v>45</v>
      </c>
      <c r="C21" s="6" t="s">
        <v>46</v>
      </c>
      <c r="D21" s="6" t="s">
        <v>189</v>
      </c>
      <c r="E21" s="6" t="s">
        <v>24</v>
      </c>
      <c r="F21" s="7">
        <v>43337</v>
      </c>
      <c r="G21" s="7">
        <v>44278</v>
      </c>
      <c r="H21" s="8">
        <v>1593</v>
      </c>
      <c r="I21" s="6" t="s">
        <v>146</v>
      </c>
      <c r="J21" s="8">
        <v>3</v>
      </c>
      <c r="K21" s="6" t="s">
        <v>35</v>
      </c>
      <c r="L21" s="8"/>
      <c r="N21" s="19" t="s">
        <v>50</v>
      </c>
      <c r="O21" s="1">
        <v>2</v>
      </c>
      <c r="P21" s="1">
        <v>1</v>
      </c>
      <c r="Q21" s="1">
        <v>3</v>
      </c>
    </row>
    <row r="22" spans="1:17" x14ac:dyDescent="0.3">
      <c r="A22" s="5" t="s">
        <v>241</v>
      </c>
      <c r="B22" s="6" t="s">
        <v>31</v>
      </c>
      <c r="C22" s="6" t="s">
        <v>32</v>
      </c>
      <c r="D22" s="6" t="s">
        <v>287</v>
      </c>
      <c r="E22" s="6" t="s">
        <v>16</v>
      </c>
      <c r="F22" s="7">
        <v>43345</v>
      </c>
      <c r="G22" s="7"/>
      <c r="H22" s="8">
        <v>1820</v>
      </c>
      <c r="I22" s="6"/>
      <c r="J22" s="8">
        <v>4</v>
      </c>
      <c r="K22" s="6" t="s">
        <v>18</v>
      </c>
      <c r="L22" s="8"/>
      <c r="N22" s="19" t="s">
        <v>99</v>
      </c>
      <c r="O22" s="1">
        <v>1</v>
      </c>
      <c r="P22" s="1">
        <v>1</v>
      </c>
      <c r="Q22" s="1">
        <v>2</v>
      </c>
    </row>
    <row r="23" spans="1:17" x14ac:dyDescent="0.3">
      <c r="A23" s="5" t="s">
        <v>37</v>
      </c>
      <c r="B23" s="6" t="s">
        <v>13</v>
      </c>
      <c r="C23" s="6" t="s">
        <v>14</v>
      </c>
      <c r="D23" s="6" t="s">
        <v>129</v>
      </c>
      <c r="E23" s="6" t="s">
        <v>24</v>
      </c>
      <c r="F23" s="7">
        <v>43349</v>
      </c>
      <c r="G23" s="7">
        <v>45081</v>
      </c>
      <c r="H23" s="8">
        <v>1802</v>
      </c>
      <c r="I23" s="6" t="s">
        <v>110</v>
      </c>
      <c r="J23" s="8">
        <v>5</v>
      </c>
      <c r="K23" s="6" t="s">
        <v>35</v>
      </c>
      <c r="L23" s="8"/>
      <c r="N23" s="19" t="s">
        <v>45</v>
      </c>
      <c r="O23" s="1">
        <v>5</v>
      </c>
      <c r="P23" s="1"/>
      <c r="Q23" s="1">
        <v>5</v>
      </c>
    </row>
    <row r="24" spans="1:17" hidden="1" x14ac:dyDescent="0.3">
      <c r="A24" s="5" t="s">
        <v>252</v>
      </c>
      <c r="B24" s="6" t="s">
        <v>61</v>
      </c>
      <c r="C24" s="6" t="s">
        <v>66</v>
      </c>
      <c r="D24" s="6" t="s">
        <v>253</v>
      </c>
      <c r="E24" s="6" t="s">
        <v>34</v>
      </c>
      <c r="F24" s="7">
        <v>43349</v>
      </c>
      <c r="G24" s="7"/>
      <c r="H24" s="8">
        <v>1009</v>
      </c>
      <c r="I24" s="6" t="s">
        <v>164</v>
      </c>
      <c r="J24" s="8">
        <v>2</v>
      </c>
      <c r="K24" s="6" t="s">
        <v>18</v>
      </c>
      <c r="L24" s="8"/>
      <c r="N24" s="19" t="s">
        <v>31</v>
      </c>
      <c r="O24" s="1">
        <v>2</v>
      </c>
      <c r="P24" s="1">
        <v>1</v>
      </c>
      <c r="Q24" s="1">
        <v>3</v>
      </c>
    </row>
    <row r="25" spans="1:17" x14ac:dyDescent="0.3">
      <c r="A25" s="10" t="s">
        <v>86</v>
      </c>
      <c r="B25" s="11" t="s">
        <v>27</v>
      </c>
      <c r="C25" s="11" t="s">
        <v>87</v>
      </c>
      <c r="D25" s="11" t="str">
        <f>_xlfn.CONCAT("employees.",  RIGHT('Terminated by gender'!$A25, 4), "@jogate.com")</f>
        <v>employees.1024@jogate.com</v>
      </c>
      <c r="E25" s="11" t="s">
        <v>24</v>
      </c>
      <c r="F25" s="12">
        <v>43353</v>
      </c>
      <c r="G25" s="12"/>
      <c r="H25" s="13">
        <v>761</v>
      </c>
      <c r="I25" s="11" t="s">
        <v>88</v>
      </c>
      <c r="J25" s="13">
        <v>4</v>
      </c>
      <c r="K25" s="11" t="s">
        <v>18</v>
      </c>
      <c r="L25" s="13"/>
      <c r="N25" s="19" t="s">
        <v>13</v>
      </c>
      <c r="O25" s="1">
        <v>2</v>
      </c>
      <c r="P25" s="1"/>
      <c r="Q25" s="1">
        <v>2</v>
      </c>
    </row>
    <row r="26" spans="1:17" x14ac:dyDescent="0.3">
      <c r="A26" s="5" t="s">
        <v>303</v>
      </c>
      <c r="B26" s="6" t="s">
        <v>42</v>
      </c>
      <c r="C26" s="6" t="s">
        <v>83</v>
      </c>
      <c r="D26" s="6" t="s">
        <v>304</v>
      </c>
      <c r="E26" s="6" t="s">
        <v>16</v>
      </c>
      <c r="F26" s="7">
        <v>43404</v>
      </c>
      <c r="G26" s="7"/>
      <c r="H26" s="8">
        <v>994</v>
      </c>
      <c r="I26" s="6" t="s">
        <v>39</v>
      </c>
      <c r="J26" s="8">
        <v>5</v>
      </c>
      <c r="K26" s="6" t="s">
        <v>18</v>
      </c>
      <c r="L26" s="8"/>
      <c r="N26" s="19" t="s">
        <v>42</v>
      </c>
      <c r="O26" s="1">
        <v>2</v>
      </c>
      <c r="P26" s="1"/>
      <c r="Q26" s="1">
        <v>2</v>
      </c>
    </row>
    <row r="27" spans="1:17" hidden="1" x14ac:dyDescent="0.3">
      <c r="A27" s="10" t="s">
        <v>219</v>
      </c>
      <c r="B27" s="11" t="s">
        <v>45</v>
      </c>
      <c r="C27" s="11" t="s">
        <v>58</v>
      </c>
      <c r="D27" s="11" t="s">
        <v>220</v>
      </c>
      <c r="E27" s="11" t="s">
        <v>34</v>
      </c>
      <c r="F27" s="12">
        <v>43414</v>
      </c>
      <c r="G27" s="12"/>
      <c r="H27" s="13">
        <v>466</v>
      </c>
      <c r="I27" s="11" t="s">
        <v>164</v>
      </c>
      <c r="J27" s="13">
        <v>5</v>
      </c>
      <c r="K27" s="11" t="s">
        <v>18</v>
      </c>
      <c r="L27" s="13"/>
      <c r="N27" s="19" t="s">
        <v>405</v>
      </c>
      <c r="O27" s="1">
        <v>17</v>
      </c>
      <c r="P27" s="1">
        <v>5</v>
      </c>
      <c r="Q27" s="1">
        <v>22</v>
      </c>
    </row>
    <row r="28" spans="1:17" x14ac:dyDescent="0.3">
      <c r="A28" s="10" t="s">
        <v>77</v>
      </c>
      <c r="B28" s="11" t="s">
        <v>61</v>
      </c>
      <c r="C28" s="11" t="s">
        <v>78</v>
      </c>
      <c r="D28" s="11" t="str">
        <f>_xlfn.CONCAT("employees.",  RIGHT('Terminated by gender'!$A21, 4), "@jogate.com")</f>
        <v>employees.1073@jogate.com</v>
      </c>
      <c r="E28" s="11" t="s">
        <v>16</v>
      </c>
      <c r="F28" s="12">
        <v>43455</v>
      </c>
      <c r="G28" s="12">
        <v>44930</v>
      </c>
      <c r="H28" s="13">
        <v>1814</v>
      </c>
      <c r="I28" s="11" t="s">
        <v>79</v>
      </c>
      <c r="J28" s="13">
        <v>2</v>
      </c>
      <c r="K28" s="11" t="s">
        <v>35</v>
      </c>
      <c r="L28" s="13"/>
    </row>
    <row r="29" spans="1:17" hidden="1" x14ac:dyDescent="0.3">
      <c r="A29" s="5" t="s">
        <v>102</v>
      </c>
      <c r="B29" s="6" t="s">
        <v>61</v>
      </c>
      <c r="C29" s="6" t="s">
        <v>62</v>
      </c>
      <c r="D29" s="6" t="s">
        <v>103</v>
      </c>
      <c r="E29" s="6" t="s">
        <v>34</v>
      </c>
      <c r="F29" s="7">
        <v>43456</v>
      </c>
      <c r="G29" s="7"/>
      <c r="H29" s="8">
        <v>454</v>
      </c>
      <c r="I29" s="6" t="s">
        <v>104</v>
      </c>
      <c r="J29" s="8">
        <v>4</v>
      </c>
      <c r="K29" s="6" t="s">
        <v>18</v>
      </c>
      <c r="L29" s="8"/>
    </row>
    <row r="30" spans="1:17" x14ac:dyDescent="0.3">
      <c r="A30" s="10" t="s">
        <v>91</v>
      </c>
      <c r="B30" s="11" t="s">
        <v>99</v>
      </c>
      <c r="C30" s="11" t="s">
        <v>100</v>
      </c>
      <c r="D30" s="11" t="s">
        <v>288</v>
      </c>
      <c r="E30" s="11" t="s">
        <v>24</v>
      </c>
      <c r="F30" s="12">
        <v>43472</v>
      </c>
      <c r="G30" s="12"/>
      <c r="H30" s="13">
        <v>1933</v>
      </c>
      <c r="I30" s="11"/>
      <c r="J30" s="13">
        <v>4</v>
      </c>
      <c r="K30" s="11" t="s">
        <v>18</v>
      </c>
      <c r="L30" s="13"/>
    </row>
    <row r="31" spans="1:17" hidden="1" x14ac:dyDescent="0.3">
      <c r="A31" s="10" t="s">
        <v>316</v>
      </c>
      <c r="B31" s="11" t="s">
        <v>13</v>
      </c>
      <c r="C31" s="11" t="s">
        <v>160</v>
      </c>
      <c r="D31" s="11" t="s">
        <v>317</v>
      </c>
      <c r="E31" s="11" t="s">
        <v>34</v>
      </c>
      <c r="F31" s="12">
        <v>43474</v>
      </c>
      <c r="G31" s="12"/>
      <c r="H31" s="13">
        <v>946</v>
      </c>
      <c r="I31" s="11" t="s">
        <v>145</v>
      </c>
      <c r="J31" s="13">
        <v>4</v>
      </c>
      <c r="K31" s="11" t="s">
        <v>18</v>
      </c>
      <c r="L31" s="13"/>
    </row>
    <row r="32" spans="1:17" hidden="1" x14ac:dyDescent="0.3">
      <c r="A32" s="10" t="s">
        <v>162</v>
      </c>
      <c r="B32" s="11" t="s">
        <v>27</v>
      </c>
      <c r="C32" s="11" t="s">
        <v>87</v>
      </c>
      <c r="D32" s="11" t="str">
        <f>_xlfn.CONCAT("employees.",  RIGHT('Terminated by gender'!$A59, 4), "@jogate.com")</f>
        <v>employees.1028@jogate.com</v>
      </c>
      <c r="E32" s="11" t="s">
        <v>34</v>
      </c>
      <c r="F32" s="12">
        <v>43504</v>
      </c>
      <c r="G32" s="12"/>
      <c r="H32" s="13">
        <v>2088</v>
      </c>
      <c r="I32" s="11" t="s">
        <v>130</v>
      </c>
      <c r="J32" s="13">
        <v>4</v>
      </c>
      <c r="K32" s="11" t="s">
        <v>18</v>
      </c>
      <c r="L32" s="13"/>
    </row>
    <row r="33" spans="1:12" hidden="1" x14ac:dyDescent="0.3">
      <c r="A33" s="10" t="s">
        <v>141</v>
      </c>
      <c r="B33" s="11" t="s">
        <v>13</v>
      </c>
      <c r="C33" s="11" t="s">
        <v>14</v>
      </c>
      <c r="D33" s="11" t="s">
        <v>142</v>
      </c>
      <c r="E33" s="11" t="s">
        <v>34</v>
      </c>
      <c r="F33" s="12">
        <v>43519</v>
      </c>
      <c r="G33" s="12"/>
      <c r="H33" s="13">
        <v>1258</v>
      </c>
      <c r="I33" s="11" t="s">
        <v>98</v>
      </c>
      <c r="J33" s="13">
        <v>5</v>
      </c>
      <c r="K33" s="11" t="s">
        <v>18</v>
      </c>
      <c r="L33" s="13"/>
    </row>
    <row r="34" spans="1:12" x14ac:dyDescent="0.3">
      <c r="A34" s="10" t="s">
        <v>98</v>
      </c>
      <c r="B34" s="11" t="s">
        <v>99</v>
      </c>
      <c r="C34" s="11" t="s">
        <v>100</v>
      </c>
      <c r="D34" s="11" t="s">
        <v>101</v>
      </c>
      <c r="E34" s="11" t="s">
        <v>16</v>
      </c>
      <c r="F34" s="12">
        <v>43530</v>
      </c>
      <c r="G34" s="12"/>
      <c r="H34" s="13">
        <v>953</v>
      </c>
      <c r="I34" s="11"/>
      <c r="J34" s="13">
        <v>5</v>
      </c>
      <c r="K34" s="11" t="s">
        <v>18</v>
      </c>
      <c r="L34" s="13"/>
    </row>
    <row r="35" spans="1:12" hidden="1" x14ac:dyDescent="0.3">
      <c r="A35" s="10" t="s">
        <v>157</v>
      </c>
      <c r="B35" s="11" t="s">
        <v>50</v>
      </c>
      <c r="C35" s="11" t="s">
        <v>51</v>
      </c>
      <c r="D35" s="11" t="str">
        <f>_xlfn.CONCAT("employees.",  RIGHT('Terminated by gender'!$A55, 4), "@jogate.com")</f>
        <v>employees.1066@jogate.com</v>
      </c>
      <c r="E35" s="11" t="s">
        <v>34</v>
      </c>
      <c r="F35" s="12">
        <v>43531</v>
      </c>
      <c r="G35" s="12"/>
      <c r="H35" s="13">
        <v>1632</v>
      </c>
      <c r="I35" s="11" t="s">
        <v>81</v>
      </c>
      <c r="J35" s="13">
        <v>3</v>
      </c>
      <c r="K35" s="11" t="s">
        <v>18</v>
      </c>
      <c r="L35" s="13"/>
    </row>
    <row r="36" spans="1:12" x14ac:dyDescent="0.3">
      <c r="A36" s="5" t="s">
        <v>221</v>
      </c>
      <c r="B36" s="6" t="s">
        <v>21</v>
      </c>
      <c r="C36" s="6" t="s">
        <v>22</v>
      </c>
      <c r="D36" s="6" t="s">
        <v>222</v>
      </c>
      <c r="E36" s="6" t="s">
        <v>16</v>
      </c>
      <c r="F36" s="7">
        <v>43534</v>
      </c>
      <c r="G36" s="7">
        <v>44606</v>
      </c>
      <c r="H36" s="8">
        <v>1750</v>
      </c>
      <c r="I36" s="6" t="s">
        <v>81</v>
      </c>
      <c r="J36" s="8">
        <v>4</v>
      </c>
      <c r="K36" s="6" t="s">
        <v>35</v>
      </c>
      <c r="L36" s="8"/>
    </row>
    <row r="37" spans="1:12" x14ac:dyDescent="0.3">
      <c r="A37" s="10" t="s">
        <v>285</v>
      </c>
      <c r="B37" s="11" t="s">
        <v>50</v>
      </c>
      <c r="C37" s="11" t="s">
        <v>70</v>
      </c>
      <c r="D37" s="11" t="s">
        <v>286</v>
      </c>
      <c r="E37" s="11" t="s">
        <v>16</v>
      </c>
      <c r="F37" s="12">
        <v>43545</v>
      </c>
      <c r="G37" s="12"/>
      <c r="H37" s="13">
        <v>1986</v>
      </c>
      <c r="I37" s="11" t="s">
        <v>210</v>
      </c>
      <c r="J37" s="13">
        <v>5</v>
      </c>
      <c r="K37" s="11" t="s">
        <v>18</v>
      </c>
      <c r="L37" s="13"/>
    </row>
    <row r="38" spans="1:12" x14ac:dyDescent="0.3">
      <c r="A38" s="5" t="s">
        <v>307</v>
      </c>
      <c r="B38" s="6" t="s">
        <v>31</v>
      </c>
      <c r="C38" s="6" t="s">
        <v>74</v>
      </c>
      <c r="D38" s="6" t="s">
        <v>308</v>
      </c>
      <c r="E38" s="6" t="s">
        <v>16</v>
      </c>
      <c r="F38" s="7">
        <v>43553</v>
      </c>
      <c r="G38" s="7"/>
      <c r="H38" s="8">
        <v>1250</v>
      </c>
      <c r="I38" s="6" t="s">
        <v>64</v>
      </c>
      <c r="J38" s="8">
        <v>2</v>
      </c>
      <c r="K38" s="6" t="s">
        <v>18</v>
      </c>
      <c r="L38" s="8"/>
    </row>
    <row r="39" spans="1:12" x14ac:dyDescent="0.3">
      <c r="A39" s="5" t="s">
        <v>128</v>
      </c>
      <c r="B39" s="6" t="s">
        <v>45</v>
      </c>
      <c r="C39" s="6" t="s">
        <v>97</v>
      </c>
      <c r="D39" s="6" t="s">
        <v>231</v>
      </c>
      <c r="E39" s="6" t="s">
        <v>16</v>
      </c>
      <c r="F39" s="7">
        <v>43560</v>
      </c>
      <c r="G39" s="7"/>
      <c r="H39" s="8">
        <v>1039</v>
      </c>
      <c r="I39" s="6"/>
      <c r="J39" s="8">
        <v>3</v>
      </c>
      <c r="K39" s="6" t="s">
        <v>18</v>
      </c>
      <c r="L39" s="8"/>
    </row>
    <row r="40" spans="1:12" hidden="1" x14ac:dyDescent="0.3">
      <c r="A40" s="10" t="s">
        <v>84</v>
      </c>
      <c r="B40" s="11" t="s">
        <v>45</v>
      </c>
      <c r="C40" s="11" t="s">
        <v>97</v>
      </c>
      <c r="D40" s="11" t="s">
        <v>295</v>
      </c>
      <c r="E40" s="11" t="s">
        <v>34</v>
      </c>
      <c r="F40" s="12">
        <v>43560</v>
      </c>
      <c r="G40" s="12"/>
      <c r="H40" s="13">
        <v>448</v>
      </c>
      <c r="I40" s="11"/>
      <c r="J40" s="13">
        <v>4</v>
      </c>
      <c r="K40" s="11" t="s">
        <v>18</v>
      </c>
      <c r="L40" s="13"/>
    </row>
    <row r="41" spans="1:12" x14ac:dyDescent="0.3">
      <c r="A41" s="10" t="s">
        <v>250</v>
      </c>
      <c r="B41" s="11" t="s">
        <v>61</v>
      </c>
      <c r="C41" s="11" t="s">
        <v>78</v>
      </c>
      <c r="D41" s="11" t="s">
        <v>251</v>
      </c>
      <c r="E41" s="11" t="s">
        <v>16</v>
      </c>
      <c r="F41" s="12">
        <v>43566</v>
      </c>
      <c r="G41" s="12"/>
      <c r="H41" s="13">
        <v>463</v>
      </c>
      <c r="I41" s="11" t="s">
        <v>37</v>
      </c>
      <c r="J41" s="13">
        <v>3</v>
      </c>
      <c r="K41" s="11" t="s">
        <v>18</v>
      </c>
      <c r="L41" s="13"/>
    </row>
    <row r="42" spans="1:12" hidden="1" x14ac:dyDescent="0.3">
      <c r="A42" s="10" t="s">
        <v>291</v>
      </c>
      <c r="B42" s="11" t="s">
        <v>31</v>
      </c>
      <c r="C42" s="11" t="s">
        <v>74</v>
      </c>
      <c r="D42" s="11" t="s">
        <v>292</v>
      </c>
      <c r="E42" s="11" t="s">
        <v>34</v>
      </c>
      <c r="F42" s="12">
        <v>43579</v>
      </c>
      <c r="G42" s="12"/>
      <c r="H42" s="13">
        <v>802</v>
      </c>
      <c r="I42" s="11" t="s">
        <v>121</v>
      </c>
      <c r="J42" s="13">
        <v>2</v>
      </c>
      <c r="K42" s="11" t="s">
        <v>18</v>
      </c>
      <c r="L42" s="13"/>
    </row>
    <row r="43" spans="1:12" x14ac:dyDescent="0.3">
      <c r="A43" s="10" t="s">
        <v>376</v>
      </c>
      <c r="B43" s="11" t="s">
        <v>45</v>
      </c>
      <c r="C43" s="11" t="s">
        <v>46</v>
      </c>
      <c r="D43" s="11" t="s">
        <v>377</v>
      </c>
      <c r="E43" s="11" t="s">
        <v>24</v>
      </c>
      <c r="F43" s="12">
        <v>43594</v>
      </c>
      <c r="G43" s="12"/>
      <c r="H43" s="13">
        <v>1461</v>
      </c>
      <c r="I43" s="11" t="s">
        <v>41</v>
      </c>
      <c r="J43" s="13">
        <v>3</v>
      </c>
      <c r="K43" s="11" t="s">
        <v>18</v>
      </c>
      <c r="L43" s="13"/>
    </row>
    <row r="44" spans="1:12" x14ac:dyDescent="0.3">
      <c r="A44" s="5" t="s">
        <v>348</v>
      </c>
      <c r="B44" s="6" t="s">
        <v>50</v>
      </c>
      <c r="C44" s="6" t="s">
        <v>51</v>
      </c>
      <c r="D44" s="6" t="s">
        <v>349</v>
      </c>
      <c r="E44" s="6" t="s">
        <v>16</v>
      </c>
      <c r="F44" s="7">
        <v>43601</v>
      </c>
      <c r="G44" s="7"/>
      <c r="H44" s="8">
        <v>1953</v>
      </c>
      <c r="I44" s="6" t="s">
        <v>53</v>
      </c>
      <c r="J44" s="8">
        <v>3</v>
      </c>
      <c r="K44" s="6" t="s">
        <v>18</v>
      </c>
      <c r="L44" s="8"/>
    </row>
    <row r="45" spans="1:12" x14ac:dyDescent="0.3">
      <c r="A45" s="10" t="s">
        <v>117</v>
      </c>
      <c r="B45" s="11" t="s">
        <v>31</v>
      </c>
      <c r="C45" s="11" t="s">
        <v>32</v>
      </c>
      <c r="D45" s="11" t="str">
        <f>_xlfn.CONCAT("employees.",  RIGHT('Terminated by gender'!$A39, 4), "@jogate.com")</f>
        <v>employees.1099@jogate.com</v>
      </c>
      <c r="E45" s="11" t="s">
        <v>24</v>
      </c>
      <c r="F45" s="12">
        <v>43620</v>
      </c>
      <c r="G45" s="12"/>
      <c r="H45" s="13">
        <v>1755</v>
      </c>
      <c r="I45" s="11"/>
      <c r="J45" s="13">
        <v>5</v>
      </c>
      <c r="K45" s="11" t="s">
        <v>18</v>
      </c>
      <c r="L45" s="13"/>
    </row>
    <row r="46" spans="1:12" hidden="1" x14ac:dyDescent="0.3">
      <c r="A46" s="5" t="s">
        <v>234</v>
      </c>
      <c r="B46" s="6" t="s">
        <v>99</v>
      </c>
      <c r="C46" s="6" t="s">
        <v>138</v>
      </c>
      <c r="D46" s="6" t="str">
        <f>_xlfn.CONCAT("employees.",  RIGHT('Terminated by gender'!$A102, 4), "@jogate.com")</f>
        <v>employees.1074@jogate.com</v>
      </c>
      <c r="E46" s="6" t="s">
        <v>34</v>
      </c>
      <c r="F46" s="7">
        <v>43633</v>
      </c>
      <c r="G46" s="7"/>
      <c r="H46" s="8">
        <v>348</v>
      </c>
      <c r="I46" s="6" t="s">
        <v>104</v>
      </c>
      <c r="J46" s="8">
        <v>3</v>
      </c>
      <c r="K46" s="6" t="s">
        <v>18</v>
      </c>
      <c r="L46" s="8"/>
    </row>
    <row r="47" spans="1:12" hidden="1" x14ac:dyDescent="0.3">
      <c r="A47" s="10" t="s">
        <v>270</v>
      </c>
      <c r="B47" s="11" t="s">
        <v>99</v>
      </c>
      <c r="C47" s="11" t="s">
        <v>125</v>
      </c>
      <c r="D47" s="11" t="s">
        <v>271</v>
      </c>
      <c r="E47" s="11" t="s">
        <v>34</v>
      </c>
      <c r="F47" s="12">
        <v>43663</v>
      </c>
      <c r="G47" s="12"/>
      <c r="H47" s="13">
        <v>779</v>
      </c>
      <c r="I47" s="11" t="s">
        <v>56</v>
      </c>
      <c r="J47" s="13">
        <v>2</v>
      </c>
      <c r="K47" s="11" t="s">
        <v>18</v>
      </c>
      <c r="L47" s="13"/>
    </row>
    <row r="48" spans="1:12" x14ac:dyDescent="0.3">
      <c r="A48" s="5" t="s">
        <v>245</v>
      </c>
      <c r="B48" s="6" t="s">
        <v>45</v>
      </c>
      <c r="C48" s="6" t="s">
        <v>58</v>
      </c>
      <c r="D48" s="6" t="str">
        <f>_xlfn.CONCAT("employees.",  RIGHT('Terminated by gender'!$A114, 4), "@jogate.com")</f>
        <v>employees.1168@jogate.com</v>
      </c>
      <c r="E48" s="6" t="s">
        <v>16</v>
      </c>
      <c r="F48" s="7">
        <v>43664</v>
      </c>
      <c r="G48" s="7"/>
      <c r="H48" s="8">
        <v>620</v>
      </c>
      <c r="I48" s="6" t="s">
        <v>140</v>
      </c>
      <c r="J48" s="8">
        <v>5</v>
      </c>
      <c r="K48" s="6" t="s">
        <v>18</v>
      </c>
      <c r="L48" s="8"/>
    </row>
    <row r="49" spans="1:12" x14ac:dyDescent="0.3">
      <c r="A49" s="5" t="s">
        <v>344</v>
      </c>
      <c r="B49" s="6" t="s">
        <v>21</v>
      </c>
      <c r="C49" s="6" t="s">
        <v>133</v>
      </c>
      <c r="D49" s="6" t="s">
        <v>345</v>
      </c>
      <c r="E49" s="6" t="s">
        <v>16</v>
      </c>
      <c r="F49" s="7">
        <v>43667</v>
      </c>
      <c r="G49" s="7"/>
      <c r="H49" s="8">
        <v>1900</v>
      </c>
      <c r="I49" s="6" t="s">
        <v>151</v>
      </c>
      <c r="J49" s="8">
        <v>5</v>
      </c>
      <c r="K49" s="6" t="s">
        <v>18</v>
      </c>
      <c r="L49" s="8"/>
    </row>
    <row r="50" spans="1:12" hidden="1" x14ac:dyDescent="0.3">
      <c r="A50" s="10" t="s">
        <v>342</v>
      </c>
      <c r="B50" s="11" t="s">
        <v>42</v>
      </c>
      <c r="C50" s="11" t="s">
        <v>83</v>
      </c>
      <c r="D50" s="11" t="s">
        <v>343</v>
      </c>
      <c r="E50" s="11" t="s">
        <v>34</v>
      </c>
      <c r="F50" s="12">
        <v>43734</v>
      </c>
      <c r="G50" s="12"/>
      <c r="H50" s="13">
        <v>2049</v>
      </c>
      <c r="I50" s="11" t="s">
        <v>171</v>
      </c>
      <c r="J50" s="13">
        <v>5</v>
      </c>
      <c r="K50" s="11" t="s">
        <v>18</v>
      </c>
      <c r="L50" s="13"/>
    </row>
    <row r="51" spans="1:12" x14ac:dyDescent="0.3">
      <c r="A51" s="5" t="s">
        <v>171</v>
      </c>
      <c r="B51" s="6" t="s">
        <v>31</v>
      </c>
      <c r="C51" s="6" t="s">
        <v>32</v>
      </c>
      <c r="D51" s="6" t="s">
        <v>355</v>
      </c>
      <c r="E51" s="6" t="s">
        <v>24</v>
      </c>
      <c r="F51" s="7">
        <v>43744</v>
      </c>
      <c r="G51" s="7"/>
      <c r="H51" s="8">
        <v>1885</v>
      </c>
      <c r="I51" s="6"/>
      <c r="J51" s="8">
        <v>4</v>
      </c>
      <c r="K51" s="6" t="s">
        <v>18</v>
      </c>
      <c r="L51" s="8"/>
    </row>
    <row r="52" spans="1:12" hidden="1" x14ac:dyDescent="0.3">
      <c r="A52" s="5" t="s">
        <v>289</v>
      </c>
      <c r="B52" s="6" t="s">
        <v>99</v>
      </c>
      <c r="C52" s="6" t="s">
        <v>138</v>
      </c>
      <c r="D52" s="6" t="s">
        <v>290</v>
      </c>
      <c r="E52" s="6" t="s">
        <v>34</v>
      </c>
      <c r="F52" s="7">
        <v>43754</v>
      </c>
      <c r="G52" s="7">
        <v>45258</v>
      </c>
      <c r="H52" s="8">
        <v>1769</v>
      </c>
      <c r="I52" s="6" t="s">
        <v>150</v>
      </c>
      <c r="J52" s="8">
        <v>5</v>
      </c>
      <c r="K52" s="6" t="s">
        <v>35</v>
      </c>
      <c r="L52" s="8"/>
    </row>
    <row r="53" spans="1:12" hidden="1" x14ac:dyDescent="0.3">
      <c r="A53" s="5" t="s">
        <v>118</v>
      </c>
      <c r="B53" s="6" t="s">
        <v>61</v>
      </c>
      <c r="C53" s="6" t="s">
        <v>62</v>
      </c>
      <c r="D53" s="6" t="s">
        <v>119</v>
      </c>
      <c r="E53" s="6" t="s">
        <v>34</v>
      </c>
      <c r="F53" s="7">
        <v>43779</v>
      </c>
      <c r="G53" s="7"/>
      <c r="H53" s="8">
        <v>1859</v>
      </c>
      <c r="I53" s="6" t="s">
        <v>120</v>
      </c>
      <c r="J53" s="8">
        <v>3</v>
      </c>
      <c r="K53" s="6" t="s">
        <v>18</v>
      </c>
      <c r="L53" s="8"/>
    </row>
    <row r="54" spans="1:12" hidden="1" x14ac:dyDescent="0.3">
      <c r="A54" s="5" t="s">
        <v>399</v>
      </c>
      <c r="B54" s="6" t="s">
        <v>50</v>
      </c>
      <c r="C54" s="6" t="s">
        <v>51</v>
      </c>
      <c r="D54" s="6" t="s">
        <v>400</v>
      </c>
      <c r="E54" s="6" t="s">
        <v>34</v>
      </c>
      <c r="F54" s="7">
        <v>43787</v>
      </c>
      <c r="G54" s="7"/>
      <c r="H54" s="8">
        <v>1163</v>
      </c>
      <c r="I54" s="6" t="s">
        <v>84</v>
      </c>
      <c r="J54" s="8">
        <v>2</v>
      </c>
      <c r="K54" s="6" t="s">
        <v>18</v>
      </c>
      <c r="L54" s="8"/>
    </row>
    <row r="55" spans="1:12" hidden="1" x14ac:dyDescent="0.3">
      <c r="A55" s="10" t="s">
        <v>175</v>
      </c>
      <c r="B55" s="11" t="s">
        <v>61</v>
      </c>
      <c r="C55" s="11" t="s">
        <v>78</v>
      </c>
      <c r="D55" s="11" t="s">
        <v>176</v>
      </c>
      <c r="E55" s="11" t="s">
        <v>34</v>
      </c>
      <c r="F55" s="12">
        <v>43817</v>
      </c>
      <c r="G55" s="12">
        <v>44765</v>
      </c>
      <c r="H55" s="13">
        <v>1573</v>
      </c>
      <c r="I55" s="11" t="s">
        <v>141</v>
      </c>
      <c r="J55" s="13">
        <v>3</v>
      </c>
      <c r="K55" s="11" t="s">
        <v>35</v>
      </c>
      <c r="L55" s="13"/>
    </row>
    <row r="56" spans="1:12" x14ac:dyDescent="0.3">
      <c r="A56" s="10" t="s">
        <v>120</v>
      </c>
      <c r="B56" s="11" t="s">
        <v>45</v>
      </c>
      <c r="C56" s="11" t="s">
        <v>97</v>
      </c>
      <c r="D56" s="11" t="s">
        <v>213</v>
      </c>
      <c r="E56" s="11" t="s">
        <v>24</v>
      </c>
      <c r="F56" s="12">
        <v>43833</v>
      </c>
      <c r="G56" s="12">
        <v>44836</v>
      </c>
      <c r="H56" s="13">
        <v>425</v>
      </c>
      <c r="I56" s="11"/>
      <c r="J56" s="13">
        <v>4</v>
      </c>
      <c r="K56" s="11" t="s">
        <v>35</v>
      </c>
      <c r="L56" s="13"/>
    </row>
    <row r="57" spans="1:12" hidden="1" x14ac:dyDescent="0.3">
      <c r="A57" s="10" t="s">
        <v>328</v>
      </c>
      <c r="B57" s="11" t="s">
        <v>27</v>
      </c>
      <c r="C57" s="11" t="s">
        <v>90</v>
      </c>
      <c r="D57" s="11" t="s">
        <v>329</v>
      </c>
      <c r="E57" s="11" t="s">
        <v>34</v>
      </c>
      <c r="F57" s="12">
        <v>43839</v>
      </c>
      <c r="G57" s="12"/>
      <c r="H57" s="13">
        <v>544</v>
      </c>
      <c r="I57" s="11" t="s">
        <v>236</v>
      </c>
      <c r="J57" s="13">
        <v>4</v>
      </c>
      <c r="K57" s="11" t="s">
        <v>18</v>
      </c>
      <c r="L57" s="13"/>
    </row>
    <row r="58" spans="1:12" hidden="1" x14ac:dyDescent="0.3">
      <c r="A58" s="10" t="s">
        <v>107</v>
      </c>
      <c r="B58" s="11" t="s">
        <v>31</v>
      </c>
      <c r="C58" s="11" t="s">
        <v>32</v>
      </c>
      <c r="D58" s="11" t="s">
        <v>362</v>
      </c>
      <c r="E58" s="11" t="s">
        <v>34</v>
      </c>
      <c r="F58" s="12">
        <v>43841</v>
      </c>
      <c r="G58" s="12"/>
      <c r="H58" s="13">
        <v>1476</v>
      </c>
      <c r="I58" s="11"/>
      <c r="J58" s="13">
        <v>4</v>
      </c>
      <c r="K58" s="11" t="s">
        <v>18</v>
      </c>
      <c r="L58" s="13"/>
    </row>
    <row r="59" spans="1:12" x14ac:dyDescent="0.3">
      <c r="A59" s="10" t="s">
        <v>95</v>
      </c>
      <c r="B59" s="11" t="s">
        <v>50</v>
      </c>
      <c r="C59" s="11" t="s">
        <v>70</v>
      </c>
      <c r="D59" s="11" t="str">
        <f>_xlfn.CONCAT("employees.",  RIGHT('Terminated by gender'!$A29, 4), "@jogate.com")</f>
        <v>employees.1031@jogate.com</v>
      </c>
      <c r="E59" s="11" t="s">
        <v>16</v>
      </c>
      <c r="F59" s="12">
        <v>43890</v>
      </c>
      <c r="G59" s="12"/>
      <c r="H59" s="13">
        <v>637</v>
      </c>
      <c r="I59" s="11" t="s">
        <v>96</v>
      </c>
      <c r="J59" s="13">
        <v>2</v>
      </c>
      <c r="K59" s="11" t="s">
        <v>18</v>
      </c>
      <c r="L59" s="13"/>
    </row>
    <row r="60" spans="1:12" hidden="1" x14ac:dyDescent="0.3">
      <c r="A60" s="10" t="s">
        <v>244</v>
      </c>
      <c r="B60" s="11" t="s">
        <v>45</v>
      </c>
      <c r="C60" s="11" t="s">
        <v>46</v>
      </c>
      <c r="D60" s="11" t="str">
        <f>_xlfn.CONCAT("employees.",  RIGHT('Terminated by gender'!$A113, 4), "@jogate.com")</f>
        <v>employees.1003@jogate.com</v>
      </c>
      <c r="E60" s="11" t="s">
        <v>34</v>
      </c>
      <c r="F60" s="12">
        <v>43895</v>
      </c>
      <c r="G60" s="12"/>
      <c r="H60" s="13">
        <v>923</v>
      </c>
      <c r="I60" s="11" t="s">
        <v>91</v>
      </c>
      <c r="J60" s="13">
        <v>3</v>
      </c>
      <c r="K60" s="11" t="s">
        <v>18</v>
      </c>
      <c r="L60" s="13"/>
    </row>
    <row r="61" spans="1:12" hidden="1" x14ac:dyDescent="0.3">
      <c r="A61" s="5" t="s">
        <v>214</v>
      </c>
      <c r="B61" s="6" t="s">
        <v>50</v>
      </c>
      <c r="C61" s="6" t="s">
        <v>51</v>
      </c>
      <c r="D61" s="6" t="s">
        <v>215</v>
      </c>
      <c r="E61" s="6" t="s">
        <v>34</v>
      </c>
      <c r="F61" s="7">
        <v>43899</v>
      </c>
      <c r="G61" s="7">
        <v>44681</v>
      </c>
      <c r="H61" s="8">
        <v>1591</v>
      </c>
      <c r="I61" s="6" t="s">
        <v>68</v>
      </c>
      <c r="J61" s="8">
        <v>5</v>
      </c>
      <c r="K61" s="6" t="s">
        <v>35</v>
      </c>
      <c r="L61" s="8"/>
    </row>
    <row r="62" spans="1:12" x14ac:dyDescent="0.3">
      <c r="A62" s="5" t="s">
        <v>73</v>
      </c>
      <c r="B62" s="6" t="s">
        <v>31</v>
      </c>
      <c r="C62" s="6" t="s">
        <v>74</v>
      </c>
      <c r="D62" s="6" t="str">
        <f>_xlfn.CONCAT("employees.",  RIGHT('Terminated by gender'!$A18, 4), "@jogate.com")</f>
        <v>employees.1123@jogate.com</v>
      </c>
      <c r="E62" s="6" t="s">
        <v>16</v>
      </c>
      <c r="F62" s="7">
        <v>43911</v>
      </c>
      <c r="G62" s="7"/>
      <c r="H62" s="8">
        <v>2045</v>
      </c>
      <c r="I62" s="6" t="s">
        <v>41</v>
      </c>
      <c r="J62" s="8">
        <v>4</v>
      </c>
      <c r="K62" s="6" t="s">
        <v>18</v>
      </c>
      <c r="L62" s="8"/>
    </row>
    <row r="63" spans="1:12" hidden="1" x14ac:dyDescent="0.3">
      <c r="A63" s="10" t="s">
        <v>135</v>
      </c>
      <c r="B63" s="11" t="s">
        <v>21</v>
      </c>
      <c r="C63" s="11" t="s">
        <v>22</v>
      </c>
      <c r="D63" s="11" t="s">
        <v>136</v>
      </c>
      <c r="E63" s="11" t="s">
        <v>34</v>
      </c>
      <c r="F63" s="12">
        <v>43925</v>
      </c>
      <c r="G63" s="12"/>
      <c r="H63" s="13">
        <v>530</v>
      </c>
      <c r="I63" s="11" t="s">
        <v>37</v>
      </c>
      <c r="J63" s="13">
        <v>5</v>
      </c>
      <c r="K63" s="11" t="s">
        <v>18</v>
      </c>
      <c r="L63" s="13"/>
    </row>
    <row r="64" spans="1:12" x14ac:dyDescent="0.3">
      <c r="A64" s="5" t="s">
        <v>381</v>
      </c>
      <c r="B64" s="6" t="s">
        <v>45</v>
      </c>
      <c r="C64" s="6" t="s">
        <v>46</v>
      </c>
      <c r="D64" s="6" t="s">
        <v>382</v>
      </c>
      <c r="E64" s="6" t="s">
        <v>24</v>
      </c>
      <c r="F64" s="7">
        <v>43934</v>
      </c>
      <c r="G64" s="7">
        <v>44550</v>
      </c>
      <c r="H64" s="8">
        <v>1204</v>
      </c>
      <c r="I64" s="6" t="s">
        <v>98</v>
      </c>
      <c r="J64" s="8">
        <v>4</v>
      </c>
      <c r="K64" s="6" t="s">
        <v>35</v>
      </c>
      <c r="L64" s="8"/>
    </row>
    <row r="65" spans="1:12" hidden="1" x14ac:dyDescent="0.3">
      <c r="A65" s="5" t="s">
        <v>40</v>
      </c>
      <c r="B65" s="6" t="s">
        <v>27</v>
      </c>
      <c r="C65" s="6" t="s">
        <v>28</v>
      </c>
      <c r="D65" s="6" t="str">
        <f>_xlfn.CONCAT("employees.",  RIGHT('Terminated by gender'!$A8, 4), "@jogate.com")</f>
        <v>employees.1131@jogate.com</v>
      </c>
      <c r="E65" s="6" t="s">
        <v>34</v>
      </c>
      <c r="F65" s="7">
        <v>43935</v>
      </c>
      <c r="G65" s="7"/>
      <c r="H65" s="8">
        <v>861</v>
      </c>
      <c r="I65" s="6"/>
      <c r="J65" s="8">
        <v>4</v>
      </c>
      <c r="K65" s="6" t="s">
        <v>18</v>
      </c>
      <c r="L65" s="8"/>
    </row>
    <row r="66" spans="1:12" x14ac:dyDescent="0.3">
      <c r="A66" s="10" t="s">
        <v>193</v>
      </c>
      <c r="B66" s="11" t="s">
        <v>50</v>
      </c>
      <c r="C66" s="11" t="s">
        <v>51</v>
      </c>
      <c r="D66" s="11" t="str">
        <f>_xlfn.CONCAT("employees.",  RIGHT('Terminated by gender'!$A79, 4), "@jogate.com")</f>
        <v>employees.1193@jogate.com</v>
      </c>
      <c r="E66" s="11" t="s">
        <v>16</v>
      </c>
      <c r="F66" s="12">
        <v>43935</v>
      </c>
      <c r="G66" s="12"/>
      <c r="H66" s="13">
        <v>563</v>
      </c>
      <c r="I66" s="11" t="s">
        <v>41</v>
      </c>
      <c r="J66" s="13">
        <v>3</v>
      </c>
      <c r="K66" s="11" t="s">
        <v>18</v>
      </c>
      <c r="L66" s="13"/>
    </row>
    <row r="67" spans="1:12" hidden="1" x14ac:dyDescent="0.3">
      <c r="A67" s="10" t="s">
        <v>96</v>
      </c>
      <c r="B67" s="11" t="s">
        <v>31</v>
      </c>
      <c r="C67" s="11" t="s">
        <v>32</v>
      </c>
      <c r="D67" s="11" t="s">
        <v>200</v>
      </c>
      <c r="E67" s="11" t="s">
        <v>34</v>
      </c>
      <c r="F67" s="12">
        <v>43944</v>
      </c>
      <c r="G67" s="12"/>
      <c r="H67" s="13">
        <v>1563</v>
      </c>
      <c r="I67" s="11"/>
      <c r="J67" s="13">
        <v>3</v>
      </c>
      <c r="K67" s="11" t="s">
        <v>18</v>
      </c>
      <c r="L67" s="13"/>
    </row>
    <row r="68" spans="1:12" hidden="1" x14ac:dyDescent="0.3">
      <c r="A68" s="10" t="s">
        <v>312</v>
      </c>
      <c r="B68" s="11" t="s">
        <v>42</v>
      </c>
      <c r="C68" s="11" t="s">
        <v>43</v>
      </c>
      <c r="D68" s="11" t="s">
        <v>313</v>
      </c>
      <c r="E68" s="11" t="s">
        <v>34</v>
      </c>
      <c r="F68" s="12">
        <v>43963</v>
      </c>
      <c r="G68" s="12"/>
      <c r="H68" s="13">
        <v>1928</v>
      </c>
      <c r="I68" s="11"/>
      <c r="J68" s="13">
        <v>2</v>
      </c>
      <c r="K68" s="11" t="s">
        <v>18</v>
      </c>
      <c r="L68" s="13"/>
    </row>
    <row r="69" spans="1:12" hidden="1" x14ac:dyDescent="0.3">
      <c r="A69" s="10" t="s">
        <v>68</v>
      </c>
      <c r="B69" s="11" t="s">
        <v>13</v>
      </c>
      <c r="C69" s="11" t="s">
        <v>14</v>
      </c>
      <c r="D69" s="11" t="s">
        <v>340</v>
      </c>
      <c r="E69" s="11" t="s">
        <v>34</v>
      </c>
      <c r="F69" s="12">
        <v>43969</v>
      </c>
      <c r="G69" s="12">
        <v>45558</v>
      </c>
      <c r="H69" s="13">
        <v>697</v>
      </c>
      <c r="I69" s="11" t="s">
        <v>40</v>
      </c>
      <c r="J69" s="13">
        <v>4</v>
      </c>
      <c r="K69" s="11" t="s">
        <v>35</v>
      </c>
      <c r="L69" s="13"/>
    </row>
    <row r="70" spans="1:12" x14ac:dyDescent="0.3">
      <c r="A70" s="5" t="s">
        <v>194</v>
      </c>
      <c r="B70" s="6" t="s">
        <v>99</v>
      </c>
      <c r="C70" s="6" t="s">
        <v>125</v>
      </c>
      <c r="D70" s="6" t="s">
        <v>195</v>
      </c>
      <c r="E70" s="6" t="s">
        <v>16</v>
      </c>
      <c r="F70" s="7">
        <v>44015</v>
      </c>
      <c r="G70" s="7"/>
      <c r="H70" s="8">
        <v>541</v>
      </c>
      <c r="I70" s="6" t="s">
        <v>64</v>
      </c>
      <c r="J70" s="8">
        <v>5</v>
      </c>
      <c r="K70" s="6" t="s">
        <v>18</v>
      </c>
      <c r="L70" s="8"/>
    </row>
    <row r="71" spans="1:12" x14ac:dyDescent="0.3">
      <c r="A71" s="5" t="s">
        <v>137</v>
      </c>
      <c r="B71" s="6" t="s">
        <v>99</v>
      </c>
      <c r="C71" s="6" t="s">
        <v>138</v>
      </c>
      <c r="D71" s="6" t="s">
        <v>139</v>
      </c>
      <c r="E71" s="6" t="s">
        <v>16</v>
      </c>
      <c r="F71" s="7">
        <v>44043</v>
      </c>
      <c r="G71" s="7"/>
      <c r="H71" s="8">
        <v>1791</v>
      </c>
      <c r="I71" s="6" t="s">
        <v>140</v>
      </c>
      <c r="J71" s="8">
        <v>2</v>
      </c>
      <c r="K71" s="6" t="s">
        <v>18</v>
      </c>
      <c r="L71" s="8"/>
    </row>
    <row r="72" spans="1:12" x14ac:dyDescent="0.3">
      <c r="A72" s="5" t="s">
        <v>310</v>
      </c>
      <c r="B72" s="6" t="s">
        <v>21</v>
      </c>
      <c r="C72" s="6" t="s">
        <v>133</v>
      </c>
      <c r="D72" s="6" t="s">
        <v>311</v>
      </c>
      <c r="E72" s="6" t="s">
        <v>16</v>
      </c>
      <c r="F72" s="7">
        <v>44049</v>
      </c>
      <c r="G72" s="7"/>
      <c r="H72" s="8">
        <v>1245</v>
      </c>
      <c r="I72" s="6" t="s">
        <v>96</v>
      </c>
      <c r="J72" s="8">
        <v>4</v>
      </c>
      <c r="K72" s="6" t="s">
        <v>18</v>
      </c>
      <c r="L72" s="8"/>
    </row>
    <row r="73" spans="1:12" x14ac:dyDescent="0.3">
      <c r="A73" s="10" t="s">
        <v>336</v>
      </c>
      <c r="B73" s="11" t="s">
        <v>50</v>
      </c>
      <c r="C73" s="11" t="s">
        <v>51</v>
      </c>
      <c r="D73" s="11" t="s">
        <v>337</v>
      </c>
      <c r="E73" s="11" t="s">
        <v>16</v>
      </c>
      <c r="F73" s="12">
        <v>44075</v>
      </c>
      <c r="G73" s="12"/>
      <c r="H73" s="13">
        <v>1392</v>
      </c>
      <c r="I73" s="11" t="s">
        <v>237</v>
      </c>
      <c r="J73" s="13">
        <v>5</v>
      </c>
      <c r="K73" s="11" t="s">
        <v>18</v>
      </c>
      <c r="L73" s="13"/>
    </row>
    <row r="74" spans="1:12" x14ac:dyDescent="0.3">
      <c r="A74" s="5" t="s">
        <v>44</v>
      </c>
      <c r="B74" s="6" t="s">
        <v>45</v>
      </c>
      <c r="C74" s="6" t="s">
        <v>46</v>
      </c>
      <c r="D74" s="6" t="s">
        <v>47</v>
      </c>
      <c r="E74" s="6" t="s">
        <v>24</v>
      </c>
      <c r="F74" s="7">
        <v>44081</v>
      </c>
      <c r="G74" s="7"/>
      <c r="H74" s="8">
        <v>723</v>
      </c>
      <c r="I74" s="6" t="s">
        <v>48</v>
      </c>
      <c r="J74" s="8">
        <v>3</v>
      </c>
      <c r="K74" s="6" t="s">
        <v>18</v>
      </c>
      <c r="L74" s="8"/>
    </row>
    <row r="75" spans="1:12" hidden="1" x14ac:dyDescent="0.3">
      <c r="A75" s="10" t="s">
        <v>350</v>
      </c>
      <c r="B75" s="11" t="s">
        <v>42</v>
      </c>
      <c r="C75" s="11" t="s">
        <v>83</v>
      </c>
      <c r="D75" s="11" t="s">
        <v>351</v>
      </c>
      <c r="E75" s="11" t="s">
        <v>34</v>
      </c>
      <c r="F75" s="12">
        <v>44139</v>
      </c>
      <c r="G75" s="12"/>
      <c r="H75" s="13">
        <v>1483</v>
      </c>
      <c r="I75" s="11" t="s">
        <v>88</v>
      </c>
      <c r="J75" s="13">
        <v>4</v>
      </c>
      <c r="K75" s="11" t="s">
        <v>18</v>
      </c>
      <c r="L75" s="13"/>
    </row>
    <row r="76" spans="1:12" x14ac:dyDescent="0.3">
      <c r="A76" s="5" t="s">
        <v>210</v>
      </c>
      <c r="B76" s="6" t="s">
        <v>42</v>
      </c>
      <c r="C76" s="6" t="s">
        <v>122</v>
      </c>
      <c r="D76" s="6" t="s">
        <v>341</v>
      </c>
      <c r="E76" s="6" t="s">
        <v>24</v>
      </c>
      <c r="F76" s="7">
        <v>44149</v>
      </c>
      <c r="G76" s="7"/>
      <c r="H76" s="8">
        <v>666</v>
      </c>
      <c r="I76" s="6"/>
      <c r="J76" s="8">
        <v>4</v>
      </c>
      <c r="K76" s="6" t="s">
        <v>18</v>
      </c>
      <c r="L76" s="8"/>
    </row>
    <row r="77" spans="1:12" hidden="1" x14ac:dyDescent="0.3">
      <c r="A77" s="5" t="s">
        <v>36</v>
      </c>
      <c r="B77" s="6" t="s">
        <v>21</v>
      </c>
      <c r="C77" s="6" t="s">
        <v>22</v>
      </c>
      <c r="D77" s="6" t="str">
        <f>_xlfn.CONCAT("employees.",  RIGHT('Terminated by gender'!$A6, 4), "@jogate.com")</f>
        <v>employees.1122@jogate.com</v>
      </c>
      <c r="E77" s="6" t="s">
        <v>34</v>
      </c>
      <c r="F77" s="7">
        <v>44155</v>
      </c>
      <c r="G77" s="7">
        <v>45318</v>
      </c>
      <c r="H77" s="8">
        <v>1704</v>
      </c>
      <c r="I77" s="6" t="s">
        <v>37</v>
      </c>
      <c r="J77" s="8">
        <v>5</v>
      </c>
      <c r="K77" s="6" t="s">
        <v>35</v>
      </c>
      <c r="L77" s="8"/>
    </row>
    <row r="78" spans="1:12" hidden="1" x14ac:dyDescent="0.3">
      <c r="A78" s="5" t="s">
        <v>54</v>
      </c>
      <c r="B78" s="6" t="s">
        <v>50</v>
      </c>
      <c r="C78" s="6" t="s">
        <v>51</v>
      </c>
      <c r="D78" s="6" t="s">
        <v>55</v>
      </c>
      <c r="E78" s="6" t="s">
        <v>34</v>
      </c>
      <c r="F78" s="7">
        <v>44180</v>
      </c>
      <c r="G78" s="7">
        <v>46048</v>
      </c>
      <c r="H78" s="8">
        <v>2011</v>
      </c>
      <c r="I78" s="6" t="s">
        <v>56</v>
      </c>
      <c r="J78" s="8">
        <v>2</v>
      </c>
      <c r="K78" s="6" t="s">
        <v>35</v>
      </c>
      <c r="L78" s="8"/>
    </row>
    <row r="79" spans="1:12" x14ac:dyDescent="0.3">
      <c r="A79" s="5" t="s">
        <v>388</v>
      </c>
      <c r="B79" s="6" t="s">
        <v>50</v>
      </c>
      <c r="C79" s="6" t="s">
        <v>70</v>
      </c>
      <c r="D79" s="6" t="s">
        <v>389</v>
      </c>
      <c r="E79" s="6" t="s">
        <v>24</v>
      </c>
      <c r="F79" s="7">
        <v>44190</v>
      </c>
      <c r="G79" s="7"/>
      <c r="H79" s="8">
        <v>1279</v>
      </c>
      <c r="I79" s="6" t="s">
        <v>91</v>
      </c>
      <c r="J79" s="8">
        <v>5</v>
      </c>
      <c r="K79" s="6" t="s">
        <v>18</v>
      </c>
      <c r="L79" s="8"/>
    </row>
    <row r="80" spans="1:12" x14ac:dyDescent="0.3">
      <c r="A80" s="5" t="s">
        <v>192</v>
      </c>
      <c r="B80" s="6" t="s">
        <v>50</v>
      </c>
      <c r="C80" s="6" t="s">
        <v>51</v>
      </c>
      <c r="D80" s="6" t="str">
        <f>_xlfn.CONCAT("employees.",  RIGHT('Terminated by gender'!$A78, 4), "@jogate.com")</f>
        <v>employees.1011@jogate.com</v>
      </c>
      <c r="E80" s="6" t="s">
        <v>24</v>
      </c>
      <c r="F80" s="7">
        <v>44197</v>
      </c>
      <c r="G80" s="7"/>
      <c r="H80" s="8">
        <v>1664</v>
      </c>
      <c r="I80" s="6" t="s">
        <v>140</v>
      </c>
      <c r="J80" s="8">
        <v>5</v>
      </c>
      <c r="K80" s="6" t="s">
        <v>18</v>
      </c>
      <c r="L80" s="8"/>
    </row>
    <row r="81" spans="1:12" hidden="1" x14ac:dyDescent="0.3">
      <c r="A81" s="10" t="s">
        <v>167</v>
      </c>
      <c r="B81" s="11" t="s">
        <v>61</v>
      </c>
      <c r="C81" s="11" t="s">
        <v>66</v>
      </c>
      <c r="D81" s="11" t="s">
        <v>168</v>
      </c>
      <c r="E81" s="11" t="s">
        <v>34</v>
      </c>
      <c r="F81" s="12">
        <v>44238</v>
      </c>
      <c r="G81" s="12"/>
      <c r="H81" s="13">
        <v>1832</v>
      </c>
      <c r="I81" s="11" t="s">
        <v>146</v>
      </c>
      <c r="J81" s="13">
        <v>4</v>
      </c>
      <c r="K81" s="11" t="s">
        <v>18</v>
      </c>
      <c r="L81" s="13"/>
    </row>
    <row r="82" spans="1:12" x14ac:dyDescent="0.3">
      <c r="A82" s="5" t="s">
        <v>318</v>
      </c>
      <c r="B82" s="6" t="s">
        <v>61</v>
      </c>
      <c r="C82" s="6" t="s">
        <v>78</v>
      </c>
      <c r="D82" s="6" t="s">
        <v>319</v>
      </c>
      <c r="E82" s="6" t="s">
        <v>16</v>
      </c>
      <c r="F82" s="7">
        <v>44253</v>
      </c>
      <c r="G82" s="7"/>
      <c r="H82" s="8">
        <v>1396</v>
      </c>
      <c r="I82" s="6" t="s">
        <v>120</v>
      </c>
      <c r="J82" s="8">
        <v>3</v>
      </c>
      <c r="K82" s="6" t="s">
        <v>18</v>
      </c>
      <c r="L82" s="8"/>
    </row>
    <row r="83" spans="1:12" x14ac:dyDescent="0.3">
      <c r="A83" s="10" t="s">
        <v>332</v>
      </c>
      <c r="B83" s="11" t="s">
        <v>45</v>
      </c>
      <c r="C83" s="11" t="s">
        <v>97</v>
      </c>
      <c r="D83" s="11" t="s">
        <v>333</v>
      </c>
      <c r="E83" s="11" t="s">
        <v>16</v>
      </c>
      <c r="F83" s="12">
        <v>44260</v>
      </c>
      <c r="G83" s="12"/>
      <c r="H83" s="13">
        <v>2010</v>
      </c>
      <c r="I83" s="11"/>
      <c r="J83" s="13">
        <v>3</v>
      </c>
      <c r="K83" s="11" t="s">
        <v>18</v>
      </c>
      <c r="L83" s="13"/>
    </row>
    <row r="84" spans="1:12" hidden="1" x14ac:dyDescent="0.3">
      <c r="A84" s="5" t="s">
        <v>240</v>
      </c>
      <c r="B84" s="6" t="s">
        <v>61</v>
      </c>
      <c r="C84" s="6" t="s">
        <v>66</v>
      </c>
      <c r="D84" s="6" t="str">
        <f>_xlfn.CONCAT("employees.",  RIGHT('Terminated by gender'!$A110, 4), "@jogate.com")</f>
        <v>employees.1045@jogate.com</v>
      </c>
      <c r="E84" s="6" t="s">
        <v>34</v>
      </c>
      <c r="F84" s="7">
        <v>44263</v>
      </c>
      <c r="G84" s="7"/>
      <c r="H84" s="8">
        <v>717</v>
      </c>
      <c r="I84" s="6" t="s">
        <v>241</v>
      </c>
      <c r="J84" s="8">
        <v>3</v>
      </c>
      <c r="K84" s="6" t="s">
        <v>18</v>
      </c>
      <c r="L84" s="8"/>
    </row>
    <row r="85" spans="1:12" x14ac:dyDescent="0.3">
      <c r="A85" s="5" t="s">
        <v>201</v>
      </c>
      <c r="B85" s="6" t="s">
        <v>21</v>
      </c>
      <c r="C85" s="6" t="s">
        <v>22</v>
      </c>
      <c r="D85" s="6" t="s">
        <v>202</v>
      </c>
      <c r="E85" s="6" t="s">
        <v>24</v>
      </c>
      <c r="F85" s="7">
        <v>44274</v>
      </c>
      <c r="G85" s="7">
        <v>44594</v>
      </c>
      <c r="H85" s="8">
        <v>1065</v>
      </c>
      <c r="I85" s="6" t="s">
        <v>203</v>
      </c>
      <c r="J85" s="8">
        <v>4</v>
      </c>
      <c r="K85" s="6" t="s">
        <v>35</v>
      </c>
      <c r="L85" s="8"/>
    </row>
    <row r="86" spans="1:12" hidden="1" x14ac:dyDescent="0.3">
      <c r="A86" s="10" t="s">
        <v>320</v>
      </c>
      <c r="B86" s="11" t="s">
        <v>31</v>
      </c>
      <c r="C86" s="11" t="s">
        <v>74</v>
      </c>
      <c r="D86" s="11" t="s">
        <v>321</v>
      </c>
      <c r="E86" s="11" t="s">
        <v>34</v>
      </c>
      <c r="F86" s="12">
        <v>44275</v>
      </c>
      <c r="G86" s="12"/>
      <c r="H86" s="13">
        <v>434</v>
      </c>
      <c r="I86" s="11" t="s">
        <v>93</v>
      </c>
      <c r="J86" s="13">
        <v>4</v>
      </c>
      <c r="K86" s="11" t="s">
        <v>18</v>
      </c>
      <c r="L86" s="13"/>
    </row>
    <row r="87" spans="1:12" x14ac:dyDescent="0.3">
      <c r="A87" s="10" t="s">
        <v>72</v>
      </c>
      <c r="B87" s="11" t="s">
        <v>21</v>
      </c>
      <c r="C87" s="11" t="s">
        <v>22</v>
      </c>
      <c r="D87" s="11" t="str">
        <f>_xlfn.CONCAT("employees.",  RIGHT('Terminated by gender'!$A17, 4), "@jogate.com")</f>
        <v>employees.1107@jogate.com</v>
      </c>
      <c r="E87" s="11" t="s">
        <v>16</v>
      </c>
      <c r="F87" s="12">
        <v>44282</v>
      </c>
      <c r="G87" s="12"/>
      <c r="H87" s="13">
        <v>795</v>
      </c>
      <c r="I87" s="11" t="s">
        <v>37</v>
      </c>
      <c r="J87" s="13">
        <v>3</v>
      </c>
      <c r="K87" s="11" t="s">
        <v>18</v>
      </c>
      <c r="L87" s="13"/>
    </row>
    <row r="88" spans="1:12" hidden="1" x14ac:dyDescent="0.3">
      <c r="A88" s="5" t="s">
        <v>124</v>
      </c>
      <c r="B88" s="6" t="s">
        <v>99</v>
      </c>
      <c r="C88" s="6" t="s">
        <v>125</v>
      </c>
      <c r="D88" s="6" t="s">
        <v>126</v>
      </c>
      <c r="E88" s="6" t="s">
        <v>34</v>
      </c>
      <c r="F88" s="7">
        <v>44285</v>
      </c>
      <c r="G88" s="7"/>
      <c r="H88" s="8">
        <v>887</v>
      </c>
      <c r="I88" s="6" t="s">
        <v>113</v>
      </c>
      <c r="J88" s="8">
        <v>4</v>
      </c>
      <c r="K88" s="6" t="s">
        <v>18</v>
      </c>
      <c r="L88" s="8"/>
    </row>
    <row r="89" spans="1:12" x14ac:dyDescent="0.3">
      <c r="A89" s="10" t="s">
        <v>59</v>
      </c>
      <c r="B89" s="11" t="s">
        <v>27</v>
      </c>
      <c r="C89" s="11" t="s">
        <v>28</v>
      </c>
      <c r="D89" s="11" t="s">
        <v>246</v>
      </c>
      <c r="E89" s="11" t="s">
        <v>16</v>
      </c>
      <c r="F89" s="12">
        <v>44289</v>
      </c>
      <c r="G89" s="12"/>
      <c r="H89" s="13">
        <v>1552</v>
      </c>
      <c r="I89" s="11"/>
      <c r="J89" s="13">
        <v>3</v>
      </c>
      <c r="K89" s="11" t="s">
        <v>18</v>
      </c>
      <c r="L89" s="13"/>
    </row>
    <row r="90" spans="1:12" x14ac:dyDescent="0.3">
      <c r="A90" s="5" t="s">
        <v>296</v>
      </c>
      <c r="B90" s="6" t="s">
        <v>45</v>
      </c>
      <c r="C90" s="6" t="s">
        <v>58</v>
      </c>
      <c r="D90" s="6" t="s">
        <v>297</v>
      </c>
      <c r="E90" s="6" t="s">
        <v>16</v>
      </c>
      <c r="F90" s="7">
        <v>44323</v>
      </c>
      <c r="G90" s="7"/>
      <c r="H90" s="8">
        <v>1556</v>
      </c>
      <c r="I90" s="6" t="s">
        <v>130</v>
      </c>
      <c r="J90" s="8">
        <v>2</v>
      </c>
      <c r="K90" s="6" t="s">
        <v>18</v>
      </c>
      <c r="L90" s="8"/>
    </row>
    <row r="91" spans="1:12" x14ac:dyDescent="0.3">
      <c r="A91" s="10" t="s">
        <v>298</v>
      </c>
      <c r="B91" s="11" t="s">
        <v>99</v>
      </c>
      <c r="C91" s="11" t="s">
        <v>138</v>
      </c>
      <c r="D91" s="11" t="s">
        <v>299</v>
      </c>
      <c r="E91" s="11" t="s">
        <v>16</v>
      </c>
      <c r="F91" s="12">
        <v>44327</v>
      </c>
      <c r="G91" s="12"/>
      <c r="H91" s="13">
        <v>432</v>
      </c>
      <c r="I91" s="11" t="s">
        <v>151</v>
      </c>
      <c r="J91" s="13">
        <v>5</v>
      </c>
      <c r="K91" s="11" t="s">
        <v>18</v>
      </c>
      <c r="L91" s="13"/>
    </row>
    <row r="92" spans="1:12" x14ac:dyDescent="0.3">
      <c r="A92" s="10" t="s">
        <v>249</v>
      </c>
      <c r="B92" s="11" t="s">
        <v>42</v>
      </c>
      <c r="C92" s="11" t="s">
        <v>122</v>
      </c>
      <c r="D92" s="11" t="s">
        <v>359</v>
      </c>
      <c r="E92" s="11" t="s">
        <v>24</v>
      </c>
      <c r="F92" s="12">
        <v>44335</v>
      </c>
      <c r="G92" s="12">
        <v>44736</v>
      </c>
      <c r="H92" s="13">
        <v>602</v>
      </c>
      <c r="I92" s="11"/>
      <c r="J92" s="13">
        <v>5</v>
      </c>
      <c r="K92" s="11" t="s">
        <v>35</v>
      </c>
      <c r="L92" s="13"/>
    </row>
    <row r="93" spans="1:12" x14ac:dyDescent="0.3">
      <c r="A93" s="5" t="s">
        <v>360</v>
      </c>
      <c r="B93" s="6" t="s">
        <v>45</v>
      </c>
      <c r="C93" s="6" t="s">
        <v>58</v>
      </c>
      <c r="D93" s="6" t="s">
        <v>361</v>
      </c>
      <c r="E93" s="6" t="s">
        <v>24</v>
      </c>
      <c r="F93" s="7">
        <v>44337</v>
      </c>
      <c r="G93" s="7"/>
      <c r="H93" s="8">
        <v>800</v>
      </c>
      <c r="I93" s="6" t="s">
        <v>230</v>
      </c>
      <c r="J93" s="8">
        <v>3</v>
      </c>
      <c r="K93" s="6" t="s">
        <v>18</v>
      </c>
      <c r="L93" s="8"/>
    </row>
    <row r="94" spans="1:12" hidden="1" x14ac:dyDescent="0.3">
      <c r="A94" s="10" t="s">
        <v>25</v>
      </c>
      <c r="B94" s="11" t="s">
        <v>42</v>
      </c>
      <c r="C94" s="11" t="s">
        <v>43</v>
      </c>
      <c r="D94" s="11" t="s">
        <v>179</v>
      </c>
      <c r="E94" s="11" t="s">
        <v>34</v>
      </c>
      <c r="F94" s="12">
        <v>44339</v>
      </c>
      <c r="G94" s="12"/>
      <c r="H94" s="13">
        <v>976</v>
      </c>
      <c r="I94" s="11"/>
      <c r="J94" s="13">
        <v>5</v>
      </c>
      <c r="K94" s="11" t="s">
        <v>18</v>
      </c>
      <c r="L94" s="13"/>
    </row>
    <row r="95" spans="1:12" hidden="1" x14ac:dyDescent="0.3">
      <c r="A95" s="10" t="s">
        <v>394</v>
      </c>
      <c r="B95" s="11" t="s">
        <v>45</v>
      </c>
      <c r="C95" s="11" t="s">
        <v>58</v>
      </c>
      <c r="D95" s="11" t="s">
        <v>395</v>
      </c>
      <c r="E95" s="11" t="s">
        <v>34</v>
      </c>
      <c r="F95" s="12">
        <v>44359</v>
      </c>
      <c r="G95" s="12"/>
      <c r="H95" s="13">
        <v>1709</v>
      </c>
      <c r="I95" s="11" t="s">
        <v>130</v>
      </c>
      <c r="J95" s="13">
        <v>5</v>
      </c>
      <c r="K95" s="11" t="s">
        <v>18</v>
      </c>
      <c r="L95" s="13"/>
    </row>
    <row r="96" spans="1:12" x14ac:dyDescent="0.3">
      <c r="A96" s="10" t="s">
        <v>113</v>
      </c>
      <c r="B96" s="11" t="s">
        <v>42</v>
      </c>
      <c r="C96" s="11" t="s">
        <v>43</v>
      </c>
      <c r="D96" s="11" t="s">
        <v>309</v>
      </c>
      <c r="E96" s="11" t="s">
        <v>24</v>
      </c>
      <c r="F96" s="12">
        <v>44388</v>
      </c>
      <c r="G96" s="12"/>
      <c r="H96" s="13">
        <v>639</v>
      </c>
      <c r="I96" s="11"/>
      <c r="J96" s="13">
        <v>5</v>
      </c>
      <c r="K96" s="11" t="s">
        <v>18</v>
      </c>
      <c r="L96" s="13"/>
    </row>
    <row r="97" spans="1:12" x14ac:dyDescent="0.3">
      <c r="A97" s="5" t="s">
        <v>177</v>
      </c>
      <c r="B97" s="6" t="s">
        <v>42</v>
      </c>
      <c r="C97" s="6" t="s">
        <v>83</v>
      </c>
      <c r="D97" s="6" t="s">
        <v>178</v>
      </c>
      <c r="E97" s="6" t="s">
        <v>24</v>
      </c>
      <c r="F97" s="7">
        <v>44395</v>
      </c>
      <c r="G97" s="7"/>
      <c r="H97" s="8">
        <v>1319</v>
      </c>
      <c r="I97" s="6" t="s">
        <v>150</v>
      </c>
      <c r="J97" s="8">
        <v>2</v>
      </c>
      <c r="K97" s="6" t="s">
        <v>18</v>
      </c>
      <c r="L97" s="8"/>
    </row>
    <row r="98" spans="1:12" x14ac:dyDescent="0.3">
      <c r="A98" s="5" t="s">
        <v>243</v>
      </c>
      <c r="B98" s="6" t="s">
        <v>50</v>
      </c>
      <c r="C98" s="6" t="s">
        <v>70</v>
      </c>
      <c r="D98" s="6" t="str">
        <f>_xlfn.CONCAT("employees.",  RIGHT('Terminated by gender'!$A112, 4), "@jogate.com")</f>
        <v>employees.1023@jogate.com</v>
      </c>
      <c r="E98" s="6" t="s">
        <v>24</v>
      </c>
      <c r="F98" s="7">
        <v>44437</v>
      </c>
      <c r="G98" s="7"/>
      <c r="H98" s="8">
        <v>1222</v>
      </c>
      <c r="I98" s="6" t="s">
        <v>48</v>
      </c>
      <c r="J98" s="8">
        <v>2</v>
      </c>
      <c r="K98" s="6" t="s">
        <v>18</v>
      </c>
      <c r="L98" s="8"/>
    </row>
    <row r="99" spans="1:12" x14ac:dyDescent="0.3">
      <c r="A99" s="5" t="s">
        <v>203</v>
      </c>
      <c r="B99" s="6" t="s">
        <v>42</v>
      </c>
      <c r="C99" s="6" t="s">
        <v>122</v>
      </c>
      <c r="D99" s="6" t="s">
        <v>352</v>
      </c>
      <c r="E99" s="6" t="s">
        <v>16</v>
      </c>
      <c r="F99" s="7">
        <v>44444</v>
      </c>
      <c r="G99" s="7"/>
      <c r="H99" s="8">
        <v>323</v>
      </c>
      <c r="I99" s="6"/>
      <c r="J99" s="8">
        <v>5</v>
      </c>
      <c r="K99" s="6" t="s">
        <v>18</v>
      </c>
      <c r="L99" s="8"/>
    </row>
    <row r="100" spans="1:12" x14ac:dyDescent="0.3">
      <c r="A100" s="5" t="s">
        <v>293</v>
      </c>
      <c r="B100" s="6" t="s">
        <v>27</v>
      </c>
      <c r="C100" s="6" t="s">
        <v>87</v>
      </c>
      <c r="D100" s="6" t="s">
        <v>294</v>
      </c>
      <c r="E100" s="6" t="s">
        <v>16</v>
      </c>
      <c r="F100" s="7">
        <v>44447</v>
      </c>
      <c r="G100" s="7"/>
      <c r="H100" s="8">
        <v>1186</v>
      </c>
      <c r="I100" s="6" t="s">
        <v>236</v>
      </c>
      <c r="J100" s="8">
        <v>5</v>
      </c>
      <c r="K100" s="6" t="s">
        <v>18</v>
      </c>
      <c r="L100" s="8"/>
    </row>
    <row r="101" spans="1:12" x14ac:dyDescent="0.3">
      <c r="A101" s="10" t="s">
        <v>390</v>
      </c>
      <c r="B101" s="11" t="s">
        <v>99</v>
      </c>
      <c r="C101" s="11" t="s">
        <v>125</v>
      </c>
      <c r="D101" s="11" t="s">
        <v>391</v>
      </c>
      <c r="E101" s="11" t="s">
        <v>16</v>
      </c>
      <c r="F101" s="12">
        <v>44447</v>
      </c>
      <c r="G101" s="12"/>
      <c r="H101" s="13">
        <v>533</v>
      </c>
      <c r="I101" s="11" t="s">
        <v>353</v>
      </c>
      <c r="J101" s="13">
        <v>4</v>
      </c>
      <c r="K101" s="11" t="s">
        <v>18</v>
      </c>
      <c r="L101" s="13"/>
    </row>
    <row r="102" spans="1:12" hidden="1" x14ac:dyDescent="0.3">
      <c r="A102" s="10" t="s">
        <v>48</v>
      </c>
      <c r="B102" s="11" t="s">
        <v>31</v>
      </c>
      <c r="C102" s="11" t="s">
        <v>32</v>
      </c>
      <c r="D102" s="11" t="str">
        <f>_xlfn.CONCAT("employees.",  RIGHT('Terminated by gender'!$A75, 4), "@jogate.com")</f>
        <v>employees.1170@jogate.com</v>
      </c>
      <c r="E102" s="11" t="s">
        <v>34</v>
      </c>
      <c r="F102" s="12">
        <v>44493</v>
      </c>
      <c r="G102" s="12"/>
      <c r="H102" s="13">
        <v>2049</v>
      </c>
      <c r="I102" s="11"/>
      <c r="J102" s="13">
        <v>2</v>
      </c>
      <c r="K102" s="11" t="s">
        <v>18</v>
      </c>
      <c r="L102" s="13"/>
    </row>
    <row r="103" spans="1:12" hidden="1" x14ac:dyDescent="0.3">
      <c r="A103" s="10" t="s">
        <v>274</v>
      </c>
      <c r="B103" s="11" t="s">
        <v>61</v>
      </c>
      <c r="C103" s="11" t="s">
        <v>62</v>
      </c>
      <c r="D103" s="11" t="s">
        <v>275</v>
      </c>
      <c r="E103" s="11" t="s">
        <v>34</v>
      </c>
      <c r="F103" s="12">
        <v>44507</v>
      </c>
      <c r="G103" s="12"/>
      <c r="H103" s="13">
        <v>1869</v>
      </c>
      <c r="I103" s="11" t="s">
        <v>40</v>
      </c>
      <c r="J103" s="13">
        <v>2</v>
      </c>
      <c r="K103" s="11" t="s">
        <v>18</v>
      </c>
      <c r="L103" s="13"/>
    </row>
    <row r="104" spans="1:12" x14ac:dyDescent="0.3">
      <c r="A104" s="5" t="s">
        <v>53</v>
      </c>
      <c r="B104" s="6" t="s">
        <v>42</v>
      </c>
      <c r="C104" s="6" t="s">
        <v>43</v>
      </c>
      <c r="D104" s="6" t="s">
        <v>218</v>
      </c>
      <c r="E104" s="6" t="s">
        <v>24</v>
      </c>
      <c r="F104" s="7">
        <v>44511</v>
      </c>
      <c r="G104" s="7"/>
      <c r="H104" s="8">
        <v>782</v>
      </c>
      <c r="I104" s="6"/>
      <c r="J104" s="8">
        <v>2</v>
      </c>
      <c r="K104" s="6" t="s">
        <v>18</v>
      </c>
      <c r="L104" s="8"/>
    </row>
    <row r="105" spans="1:12" x14ac:dyDescent="0.3">
      <c r="A105" s="5" t="s">
        <v>396</v>
      </c>
      <c r="B105" s="6" t="s">
        <v>13</v>
      </c>
      <c r="C105" s="6" t="s">
        <v>264</v>
      </c>
      <c r="D105" s="6" t="s">
        <v>397</v>
      </c>
      <c r="E105" s="6" t="s">
        <v>24</v>
      </c>
      <c r="F105" s="7">
        <v>44555</v>
      </c>
      <c r="G105" s="7"/>
      <c r="H105" s="8">
        <v>472</v>
      </c>
      <c r="I105" s="6" t="s">
        <v>71</v>
      </c>
      <c r="J105" s="8">
        <v>5</v>
      </c>
      <c r="K105" s="6" t="s">
        <v>18</v>
      </c>
      <c r="L105" s="8"/>
    </row>
    <row r="106" spans="1:12" x14ac:dyDescent="0.3">
      <c r="A106" s="10" t="s">
        <v>254</v>
      </c>
      <c r="B106" s="11" t="s">
        <v>31</v>
      </c>
      <c r="C106" s="11" t="s">
        <v>74</v>
      </c>
      <c r="D106" s="11" t="s">
        <v>255</v>
      </c>
      <c r="E106" s="11" t="s">
        <v>16</v>
      </c>
      <c r="F106" s="12">
        <v>44569</v>
      </c>
      <c r="G106" s="12"/>
      <c r="H106" s="13">
        <v>1403</v>
      </c>
      <c r="I106" s="11" t="s">
        <v>210</v>
      </c>
      <c r="J106" s="13">
        <v>3</v>
      </c>
      <c r="K106" s="11" t="s">
        <v>18</v>
      </c>
      <c r="L106" s="13"/>
    </row>
    <row r="107" spans="1:12" x14ac:dyDescent="0.3">
      <c r="A107" s="5" t="s">
        <v>153</v>
      </c>
      <c r="B107" s="6" t="s">
        <v>21</v>
      </c>
      <c r="C107" s="6" t="s">
        <v>154</v>
      </c>
      <c r="D107" s="6" t="s">
        <v>155</v>
      </c>
      <c r="E107" s="6" t="s">
        <v>24</v>
      </c>
      <c r="F107" s="7">
        <v>44602</v>
      </c>
      <c r="G107" s="7"/>
      <c r="H107" s="8">
        <v>979</v>
      </c>
      <c r="I107" s="6" t="s">
        <v>156</v>
      </c>
      <c r="J107" s="8">
        <v>2</v>
      </c>
      <c r="K107" s="6" t="s">
        <v>18</v>
      </c>
      <c r="L107" s="8"/>
    </row>
    <row r="108" spans="1:12" hidden="1" x14ac:dyDescent="0.3">
      <c r="A108" s="10" t="s">
        <v>82</v>
      </c>
      <c r="B108" s="11" t="s">
        <v>42</v>
      </c>
      <c r="C108" s="11" t="s">
        <v>83</v>
      </c>
      <c r="D108" s="11" t="str">
        <f>_xlfn.CONCAT("employees.",  RIGHT('Terminated by gender'!$A23, 4), "@jogate.com")</f>
        <v>employees.1043@jogate.com</v>
      </c>
      <c r="E108" s="11" t="s">
        <v>34</v>
      </c>
      <c r="F108" s="12">
        <v>44617</v>
      </c>
      <c r="G108" s="12">
        <v>45413</v>
      </c>
      <c r="H108" s="13">
        <v>612</v>
      </c>
      <c r="I108" s="11" t="s">
        <v>84</v>
      </c>
      <c r="J108" s="13">
        <v>2</v>
      </c>
      <c r="K108" s="11" t="s">
        <v>35</v>
      </c>
      <c r="L108" s="13"/>
    </row>
    <row r="109" spans="1:12" x14ac:dyDescent="0.3">
      <c r="A109" s="10" t="s">
        <v>41</v>
      </c>
      <c r="B109" s="11" t="s">
        <v>42</v>
      </c>
      <c r="C109" s="11" t="s">
        <v>43</v>
      </c>
      <c r="D109" s="11" t="str">
        <f>_xlfn.CONCAT("employees.",  RIGHT('Terminated by gender'!$A9, 4), "@jogate.com")</f>
        <v>employees.1052@jogate.com</v>
      </c>
      <c r="E109" s="11" t="s">
        <v>16</v>
      </c>
      <c r="F109" s="12">
        <v>44630</v>
      </c>
      <c r="G109" s="12"/>
      <c r="H109" s="13">
        <v>2086</v>
      </c>
      <c r="I109" s="11"/>
      <c r="J109" s="13">
        <v>4</v>
      </c>
      <c r="K109" s="11" t="s">
        <v>18</v>
      </c>
      <c r="L109" s="13"/>
    </row>
    <row r="110" spans="1:12" x14ac:dyDescent="0.3">
      <c r="A110" s="5" t="s">
        <v>132</v>
      </c>
      <c r="B110" s="6" t="s">
        <v>21</v>
      </c>
      <c r="C110" s="6" t="s">
        <v>133</v>
      </c>
      <c r="D110" s="6" t="s">
        <v>134</v>
      </c>
      <c r="E110" s="6" t="s">
        <v>24</v>
      </c>
      <c r="F110" s="7">
        <v>44643</v>
      </c>
      <c r="G110" s="7"/>
      <c r="H110" s="8">
        <v>1811</v>
      </c>
      <c r="I110" s="6" t="s">
        <v>64</v>
      </c>
      <c r="J110" s="8">
        <v>3</v>
      </c>
      <c r="K110" s="6" t="s">
        <v>18</v>
      </c>
      <c r="L110" s="8"/>
    </row>
    <row r="111" spans="1:12" x14ac:dyDescent="0.3">
      <c r="A111" s="5" t="s">
        <v>12</v>
      </c>
      <c r="B111" s="6" t="s">
        <v>13</v>
      </c>
      <c r="C111" s="6" t="s">
        <v>14</v>
      </c>
      <c r="D111" s="6" t="s">
        <v>15</v>
      </c>
      <c r="E111" s="6" t="s">
        <v>16</v>
      </c>
      <c r="F111" s="7">
        <v>44668</v>
      </c>
      <c r="G111" s="7"/>
      <c r="H111" s="8">
        <v>892</v>
      </c>
      <c r="I111" s="6" t="s">
        <v>17</v>
      </c>
      <c r="J111" s="8">
        <v>2</v>
      </c>
      <c r="K111" s="6" t="s">
        <v>18</v>
      </c>
      <c r="L111" s="8"/>
    </row>
    <row r="112" spans="1:12" hidden="1" x14ac:dyDescent="0.3">
      <c r="A112" s="5" t="s">
        <v>85</v>
      </c>
      <c r="B112" s="6" t="s">
        <v>31</v>
      </c>
      <c r="C112" s="6" t="s">
        <v>74</v>
      </c>
      <c r="D112" s="6" t="str">
        <f>_xlfn.CONCAT("employees.",  RIGHT('Terminated by gender'!$A24, 4), "@jogate.com")</f>
        <v>employees.1117@jogate.com</v>
      </c>
      <c r="E112" s="6" t="s">
        <v>34</v>
      </c>
      <c r="F112" s="7">
        <v>44683</v>
      </c>
      <c r="G112" s="7"/>
      <c r="H112" s="8">
        <v>436</v>
      </c>
      <c r="I112" s="6" t="s">
        <v>79</v>
      </c>
      <c r="J112" s="8">
        <v>5</v>
      </c>
      <c r="K112" s="6" t="s">
        <v>18</v>
      </c>
      <c r="L112" s="8"/>
    </row>
    <row r="113" spans="1:12" x14ac:dyDescent="0.3">
      <c r="A113" s="5" t="s">
        <v>26</v>
      </c>
      <c r="B113" s="6" t="s">
        <v>27</v>
      </c>
      <c r="C113" s="6" t="s">
        <v>28</v>
      </c>
      <c r="D113" s="6" t="s">
        <v>29</v>
      </c>
      <c r="E113" s="6" t="s">
        <v>16</v>
      </c>
      <c r="F113" s="7">
        <v>44694</v>
      </c>
      <c r="G113" s="7"/>
      <c r="H113" s="8">
        <v>1627</v>
      </c>
      <c r="I113" s="6"/>
      <c r="J113" s="8">
        <v>3</v>
      </c>
      <c r="K113" s="6" t="s">
        <v>18</v>
      </c>
      <c r="L113" s="8"/>
    </row>
    <row r="114" spans="1:12" x14ac:dyDescent="0.3">
      <c r="A114" s="10" t="s">
        <v>346</v>
      </c>
      <c r="B114" s="11" t="s">
        <v>13</v>
      </c>
      <c r="C114" s="11" t="s">
        <v>264</v>
      </c>
      <c r="D114" s="11" t="s">
        <v>347</v>
      </c>
      <c r="E114" s="11" t="s">
        <v>16</v>
      </c>
      <c r="F114" s="12">
        <v>44705</v>
      </c>
      <c r="G114" s="12"/>
      <c r="H114" s="13">
        <v>1020</v>
      </c>
      <c r="I114" s="11" t="s">
        <v>146</v>
      </c>
      <c r="J114" s="13">
        <v>5</v>
      </c>
      <c r="K114" s="11" t="s">
        <v>18</v>
      </c>
      <c r="L114" s="13"/>
    </row>
    <row r="115" spans="1:12" x14ac:dyDescent="0.3">
      <c r="A115" s="5" t="s">
        <v>268</v>
      </c>
      <c r="B115" s="6" t="s">
        <v>13</v>
      </c>
      <c r="C115" s="6" t="s">
        <v>264</v>
      </c>
      <c r="D115" s="6" t="s">
        <v>269</v>
      </c>
      <c r="E115" s="6" t="s">
        <v>16</v>
      </c>
      <c r="F115" s="7">
        <v>44712</v>
      </c>
      <c r="G115" s="7"/>
      <c r="H115" s="8">
        <v>299</v>
      </c>
      <c r="I115" s="6" t="s">
        <v>79</v>
      </c>
      <c r="J115" s="8">
        <v>4</v>
      </c>
      <c r="K115" s="6" t="s">
        <v>18</v>
      </c>
      <c r="L115" s="8"/>
    </row>
    <row r="116" spans="1:12" hidden="1" x14ac:dyDescent="0.3">
      <c r="A116" s="5" t="s">
        <v>69</v>
      </c>
      <c r="B116" s="6" t="s">
        <v>50</v>
      </c>
      <c r="C116" s="6" t="s">
        <v>70</v>
      </c>
      <c r="D116" s="6" t="str">
        <f>_xlfn.CONCAT("employees.",  RIGHT('Terminated by gender'!$A16, 4), "@jogate.com")</f>
        <v>employees.1144@jogate.com</v>
      </c>
      <c r="E116" s="6" t="s">
        <v>34</v>
      </c>
      <c r="F116" s="7">
        <v>44731</v>
      </c>
      <c r="G116" s="7"/>
      <c r="H116" s="8">
        <v>1546</v>
      </c>
      <c r="I116" s="6" t="s">
        <v>71</v>
      </c>
      <c r="J116" s="8">
        <v>4</v>
      </c>
      <c r="K116" s="6" t="s">
        <v>18</v>
      </c>
      <c r="L116" s="8"/>
    </row>
    <row r="117" spans="1:12" x14ac:dyDescent="0.3">
      <c r="A117" s="10" t="s">
        <v>127</v>
      </c>
      <c r="B117" s="11" t="s">
        <v>50</v>
      </c>
      <c r="C117" s="11" t="s">
        <v>70</v>
      </c>
      <c r="D117" s="11" t="str">
        <f>_xlfn.CONCAT("employees.",  RIGHT('Terminated by gender'!$A43, 4), "@jogate.com")</f>
        <v>employees.1186@jogate.com</v>
      </c>
      <c r="E117" s="11" t="s">
        <v>24</v>
      </c>
      <c r="F117" s="12">
        <v>44756</v>
      </c>
      <c r="G117" s="12"/>
      <c r="H117" s="13">
        <v>2090</v>
      </c>
      <c r="I117" s="11" t="s">
        <v>128</v>
      </c>
      <c r="J117" s="13">
        <v>3</v>
      </c>
      <c r="K117" s="11" t="s">
        <v>18</v>
      </c>
      <c r="L117" s="13"/>
    </row>
    <row r="118" spans="1:12" hidden="1" x14ac:dyDescent="0.3">
      <c r="A118" s="10" t="s">
        <v>75</v>
      </c>
      <c r="B118" s="11" t="s">
        <v>61</v>
      </c>
      <c r="C118" s="11" t="s">
        <v>62</v>
      </c>
      <c r="D118" s="11" t="str">
        <f>_xlfn.CONCAT("employees.",  RIGHT('Terminated by gender'!$A19, 4), "@jogate.com")</f>
        <v>employees.1156@jogate.com</v>
      </c>
      <c r="E118" s="11" t="s">
        <v>34</v>
      </c>
      <c r="F118" s="12">
        <v>44772</v>
      </c>
      <c r="G118" s="12">
        <v>45521</v>
      </c>
      <c r="H118" s="13">
        <v>1454</v>
      </c>
      <c r="I118" s="11" t="s">
        <v>76</v>
      </c>
      <c r="J118" s="13">
        <v>4</v>
      </c>
      <c r="K118" s="11" t="s">
        <v>35</v>
      </c>
      <c r="L118" s="13"/>
    </row>
    <row r="119" spans="1:12" x14ac:dyDescent="0.3">
      <c r="A119" s="10" t="s">
        <v>146</v>
      </c>
      <c r="B119" s="11" t="s">
        <v>31</v>
      </c>
      <c r="C119" s="11" t="s">
        <v>32</v>
      </c>
      <c r="D119" s="11" t="s">
        <v>147</v>
      </c>
      <c r="E119" s="11" t="s">
        <v>16</v>
      </c>
      <c r="F119" s="12">
        <v>44808</v>
      </c>
      <c r="G119" s="12"/>
      <c r="H119" s="13">
        <v>1314</v>
      </c>
      <c r="I119" s="11"/>
      <c r="J119" s="13">
        <v>5</v>
      </c>
      <c r="K119" s="11" t="s">
        <v>18</v>
      </c>
      <c r="L119" s="13"/>
    </row>
    <row r="120" spans="1:12" x14ac:dyDescent="0.3">
      <c r="A120" s="5" t="s">
        <v>56</v>
      </c>
      <c r="B120" s="6" t="s">
        <v>31</v>
      </c>
      <c r="C120" s="6" t="s">
        <v>32</v>
      </c>
      <c r="D120" s="6" t="str">
        <f>_xlfn.CONCAT("employees.",  RIGHT('Terminated by gender'!$A20, 4), "@jogate.com")</f>
        <v>employees.1174@jogate.com</v>
      </c>
      <c r="E120" s="6" t="s">
        <v>16</v>
      </c>
      <c r="F120" s="7">
        <v>44819</v>
      </c>
      <c r="G120" s="7"/>
      <c r="H120" s="8">
        <v>1080</v>
      </c>
      <c r="I120" s="6"/>
      <c r="J120" s="8">
        <v>5</v>
      </c>
      <c r="K120" s="6" t="s">
        <v>18</v>
      </c>
      <c r="L120" s="8"/>
    </row>
    <row r="121" spans="1:12" hidden="1" x14ac:dyDescent="0.3">
      <c r="A121" s="10" t="s">
        <v>242</v>
      </c>
      <c r="B121" s="11" t="s">
        <v>99</v>
      </c>
      <c r="C121" s="11" t="s">
        <v>138</v>
      </c>
      <c r="D121" s="11" t="str">
        <f>_xlfn.CONCAT("employees.",  RIGHT('Terminated by gender'!$A111, 4), "@jogate.com")</f>
        <v>employees.1001@jogate.com</v>
      </c>
      <c r="E121" s="11" t="s">
        <v>34</v>
      </c>
      <c r="F121" s="12">
        <v>44836</v>
      </c>
      <c r="G121" s="12"/>
      <c r="H121" s="13">
        <v>1436</v>
      </c>
      <c r="I121" s="11" t="s">
        <v>146</v>
      </c>
      <c r="J121" s="13">
        <v>4</v>
      </c>
      <c r="K121" s="11" t="s">
        <v>18</v>
      </c>
      <c r="L121" s="13"/>
    </row>
    <row r="122" spans="1:12" x14ac:dyDescent="0.3">
      <c r="A122" s="5" t="s">
        <v>367</v>
      </c>
      <c r="B122" s="6" t="s">
        <v>50</v>
      </c>
      <c r="C122" s="6" t="s">
        <v>70</v>
      </c>
      <c r="D122" s="6" t="s">
        <v>368</v>
      </c>
      <c r="E122" s="6" t="s">
        <v>24</v>
      </c>
      <c r="F122" s="7">
        <v>44843</v>
      </c>
      <c r="G122" s="7"/>
      <c r="H122" s="8">
        <v>1991</v>
      </c>
      <c r="I122" s="6" t="s">
        <v>98</v>
      </c>
      <c r="J122" s="8">
        <v>4</v>
      </c>
      <c r="K122" s="6" t="s">
        <v>18</v>
      </c>
      <c r="L122" s="8"/>
    </row>
    <row r="123" spans="1:12" x14ac:dyDescent="0.3">
      <c r="A123" s="5" t="s">
        <v>334</v>
      </c>
      <c r="B123" s="6" t="s">
        <v>27</v>
      </c>
      <c r="C123" s="6" t="s">
        <v>90</v>
      </c>
      <c r="D123" s="6" t="s">
        <v>335</v>
      </c>
      <c r="E123" s="6" t="s">
        <v>24</v>
      </c>
      <c r="F123" s="7">
        <v>44868</v>
      </c>
      <c r="G123" s="7"/>
      <c r="H123" s="8">
        <v>1944</v>
      </c>
      <c r="I123" s="6" t="s">
        <v>164</v>
      </c>
      <c r="J123" s="8">
        <v>5</v>
      </c>
      <c r="K123" s="6" t="s">
        <v>18</v>
      </c>
      <c r="L123" s="8"/>
    </row>
    <row r="124" spans="1:12" x14ac:dyDescent="0.3">
      <c r="A124" s="10" t="s">
        <v>105</v>
      </c>
      <c r="B124" s="11" t="s">
        <v>50</v>
      </c>
      <c r="C124" s="11" t="s">
        <v>51</v>
      </c>
      <c r="D124" s="11" t="s">
        <v>106</v>
      </c>
      <c r="E124" s="11" t="s">
        <v>16</v>
      </c>
      <c r="F124" s="12">
        <v>44870</v>
      </c>
      <c r="G124" s="12"/>
      <c r="H124" s="13">
        <v>763</v>
      </c>
      <c r="I124" s="11" t="s">
        <v>107</v>
      </c>
      <c r="J124" s="13">
        <v>4</v>
      </c>
      <c r="K124" s="11" t="s">
        <v>18</v>
      </c>
      <c r="L124" s="13"/>
    </row>
    <row r="125" spans="1:12" x14ac:dyDescent="0.3">
      <c r="A125" s="10" t="s">
        <v>79</v>
      </c>
      <c r="B125" s="11" t="s">
        <v>42</v>
      </c>
      <c r="C125" s="11" t="s">
        <v>43</v>
      </c>
      <c r="D125" s="11" t="s">
        <v>172</v>
      </c>
      <c r="E125" s="11" t="s">
        <v>24</v>
      </c>
      <c r="F125" s="12">
        <v>44879</v>
      </c>
      <c r="G125" s="12">
        <v>45955</v>
      </c>
      <c r="H125" s="13">
        <v>286</v>
      </c>
      <c r="I125" s="11"/>
      <c r="J125" s="13">
        <v>4</v>
      </c>
      <c r="K125" s="11" t="s">
        <v>35</v>
      </c>
      <c r="L125" s="13"/>
    </row>
    <row r="126" spans="1:12" x14ac:dyDescent="0.3">
      <c r="A126" s="5" t="s">
        <v>374</v>
      </c>
      <c r="B126" s="6" t="s">
        <v>99</v>
      </c>
      <c r="C126" s="6" t="s">
        <v>138</v>
      </c>
      <c r="D126" s="6" t="s">
        <v>375</v>
      </c>
      <c r="E126" s="6" t="s">
        <v>16</v>
      </c>
      <c r="F126" s="7">
        <v>44884</v>
      </c>
      <c r="G126" s="7"/>
      <c r="H126" s="8">
        <v>1500</v>
      </c>
      <c r="I126" s="6" t="s">
        <v>37</v>
      </c>
      <c r="J126" s="8">
        <v>5</v>
      </c>
      <c r="K126" s="6" t="s">
        <v>18</v>
      </c>
      <c r="L126" s="8"/>
    </row>
    <row r="127" spans="1:12" x14ac:dyDescent="0.3">
      <c r="A127" s="10" t="s">
        <v>182</v>
      </c>
      <c r="B127" s="11" t="s">
        <v>50</v>
      </c>
      <c r="C127" s="11" t="s">
        <v>51</v>
      </c>
      <c r="D127" s="11" t="s">
        <v>183</v>
      </c>
      <c r="E127" s="11" t="s">
        <v>24</v>
      </c>
      <c r="F127" s="12">
        <v>44885</v>
      </c>
      <c r="G127" s="12"/>
      <c r="H127" s="13">
        <v>784</v>
      </c>
      <c r="I127" s="11" t="s">
        <v>88</v>
      </c>
      <c r="J127" s="13">
        <v>4</v>
      </c>
      <c r="K127" s="11" t="s">
        <v>18</v>
      </c>
      <c r="L127" s="13"/>
    </row>
    <row r="128" spans="1:12" hidden="1" x14ac:dyDescent="0.3">
      <c r="A128" s="5" t="s">
        <v>150</v>
      </c>
      <c r="B128" s="6" t="s">
        <v>99</v>
      </c>
      <c r="C128" s="6" t="s">
        <v>100</v>
      </c>
      <c r="D128" s="6" t="s">
        <v>378</v>
      </c>
      <c r="E128" s="6" t="s">
        <v>34</v>
      </c>
      <c r="F128" s="7">
        <v>44885</v>
      </c>
      <c r="G128" s="7"/>
      <c r="H128" s="8">
        <v>1400</v>
      </c>
      <c r="I128" s="6"/>
      <c r="J128" s="8">
        <v>4</v>
      </c>
      <c r="K128" s="6" t="s">
        <v>18</v>
      </c>
      <c r="L128" s="8"/>
    </row>
    <row r="129" spans="1:12" x14ac:dyDescent="0.3">
      <c r="A129" s="5" t="s">
        <v>326</v>
      </c>
      <c r="B129" s="6" t="s">
        <v>21</v>
      </c>
      <c r="C129" s="6" t="s">
        <v>154</v>
      </c>
      <c r="D129" s="6" t="s">
        <v>327</v>
      </c>
      <c r="E129" s="6" t="s">
        <v>24</v>
      </c>
      <c r="F129" s="7">
        <v>44925</v>
      </c>
      <c r="G129" s="7">
        <v>46877</v>
      </c>
      <c r="H129" s="8">
        <v>448</v>
      </c>
      <c r="I129" s="6" t="s">
        <v>237</v>
      </c>
      <c r="J129" s="8">
        <v>4</v>
      </c>
      <c r="K129" s="6" t="s">
        <v>35</v>
      </c>
      <c r="L129" s="8"/>
    </row>
    <row r="130" spans="1:12" x14ac:dyDescent="0.3">
      <c r="A130" s="10" t="s">
        <v>232</v>
      </c>
      <c r="B130" s="11" t="s">
        <v>45</v>
      </c>
      <c r="C130" s="11" t="s">
        <v>58</v>
      </c>
      <c r="D130" s="11" t="s">
        <v>233</v>
      </c>
      <c r="E130" s="11" t="s">
        <v>16</v>
      </c>
      <c r="F130" s="12">
        <v>44942</v>
      </c>
      <c r="G130" s="12"/>
      <c r="H130" s="13">
        <v>704</v>
      </c>
      <c r="I130" s="11" t="s">
        <v>98</v>
      </c>
      <c r="J130" s="13">
        <v>5</v>
      </c>
      <c r="K130" s="11" t="s">
        <v>18</v>
      </c>
      <c r="L130" s="13"/>
    </row>
    <row r="131" spans="1:12" x14ac:dyDescent="0.3">
      <c r="A131" s="10" t="s">
        <v>239</v>
      </c>
      <c r="B131" s="11" t="s">
        <v>50</v>
      </c>
      <c r="C131" s="11" t="s">
        <v>51</v>
      </c>
      <c r="D131" s="11" t="str">
        <f>_xlfn.CONCAT("employees.",  RIGHT('Terminated by gender'!$A107, 4), "@jogate.com")</f>
        <v>employees.1053@jogate.com</v>
      </c>
      <c r="E131" s="11" t="s">
        <v>24</v>
      </c>
      <c r="F131" s="12">
        <v>44945</v>
      </c>
      <c r="G131" s="12">
        <v>45321</v>
      </c>
      <c r="H131" s="13">
        <v>1507</v>
      </c>
      <c r="I131" s="11" t="s">
        <v>40</v>
      </c>
      <c r="J131" s="13">
        <v>2</v>
      </c>
      <c r="K131" s="11" t="s">
        <v>35</v>
      </c>
      <c r="L131" s="13"/>
    </row>
    <row r="132" spans="1:12" x14ac:dyDescent="0.3">
      <c r="A132" s="5" t="s">
        <v>392</v>
      </c>
      <c r="B132" s="6" t="s">
        <v>31</v>
      </c>
      <c r="C132" s="6" t="s">
        <v>74</v>
      </c>
      <c r="D132" s="6" t="s">
        <v>393</v>
      </c>
      <c r="E132" s="6" t="s">
        <v>16</v>
      </c>
      <c r="F132" s="7">
        <v>44956</v>
      </c>
      <c r="G132" s="7"/>
      <c r="H132" s="8">
        <v>1593</v>
      </c>
      <c r="I132" s="6" t="s">
        <v>128</v>
      </c>
      <c r="J132" s="8">
        <v>3</v>
      </c>
      <c r="K132" s="6" t="s">
        <v>18</v>
      </c>
      <c r="L132" s="8"/>
    </row>
    <row r="133" spans="1:12" x14ac:dyDescent="0.3">
      <c r="A133" s="10" t="s">
        <v>20</v>
      </c>
      <c r="B133" s="11" t="s">
        <v>21</v>
      </c>
      <c r="C133" s="11" t="s">
        <v>22</v>
      </c>
      <c r="D133" s="11" t="s">
        <v>23</v>
      </c>
      <c r="E133" s="11" t="s">
        <v>24</v>
      </c>
      <c r="F133" s="12">
        <v>44964</v>
      </c>
      <c r="G133" s="12"/>
      <c r="H133" s="13">
        <v>421</v>
      </c>
      <c r="I133" s="11" t="s">
        <v>25</v>
      </c>
      <c r="J133" s="13">
        <v>2</v>
      </c>
      <c r="K133" s="11" t="s">
        <v>18</v>
      </c>
      <c r="L133" s="13"/>
    </row>
    <row r="134" spans="1:12" x14ac:dyDescent="0.3">
      <c r="A134" s="5" t="s">
        <v>206</v>
      </c>
      <c r="B134" s="6" t="s">
        <v>31</v>
      </c>
      <c r="C134" s="6" t="s">
        <v>74</v>
      </c>
      <c r="D134" s="6" t="s">
        <v>207</v>
      </c>
      <c r="E134" s="6" t="s">
        <v>24</v>
      </c>
      <c r="F134" s="7">
        <v>44993</v>
      </c>
      <c r="G134" s="7"/>
      <c r="H134" s="8">
        <v>628</v>
      </c>
      <c r="I134" s="6" t="s">
        <v>96</v>
      </c>
      <c r="J134" s="8">
        <v>5</v>
      </c>
      <c r="K134" s="6" t="s">
        <v>18</v>
      </c>
      <c r="L134" s="8"/>
    </row>
    <row r="135" spans="1:12" x14ac:dyDescent="0.3">
      <c r="A135" s="10" t="s">
        <v>64</v>
      </c>
      <c r="B135" s="11" t="s">
        <v>13</v>
      </c>
      <c r="C135" s="11" t="s">
        <v>14</v>
      </c>
      <c r="D135" s="11" t="s">
        <v>223</v>
      </c>
      <c r="E135" s="11" t="s">
        <v>24</v>
      </c>
      <c r="F135" s="12">
        <v>45018</v>
      </c>
      <c r="G135" s="12"/>
      <c r="H135" s="13">
        <v>1773</v>
      </c>
      <c r="I135" s="11" t="s">
        <v>110</v>
      </c>
      <c r="J135" s="13">
        <v>5</v>
      </c>
      <c r="K135" s="11" t="s">
        <v>18</v>
      </c>
      <c r="L135" s="13"/>
    </row>
    <row r="136" spans="1:12" x14ac:dyDescent="0.3">
      <c r="A136" s="5" t="s">
        <v>198</v>
      </c>
      <c r="B136" s="6" t="s">
        <v>50</v>
      </c>
      <c r="C136" s="6" t="s">
        <v>70</v>
      </c>
      <c r="D136" s="6" t="s">
        <v>199</v>
      </c>
      <c r="E136" s="6" t="s">
        <v>16</v>
      </c>
      <c r="F136" s="7">
        <v>45028</v>
      </c>
      <c r="G136" s="7">
        <v>45741</v>
      </c>
      <c r="H136" s="8">
        <v>648</v>
      </c>
      <c r="I136" s="6" t="s">
        <v>104</v>
      </c>
      <c r="J136" s="8">
        <v>4</v>
      </c>
      <c r="K136" s="6" t="s">
        <v>35</v>
      </c>
      <c r="L136" s="8"/>
    </row>
    <row r="137" spans="1:12" x14ac:dyDescent="0.3">
      <c r="A137" s="10" t="s">
        <v>372</v>
      </c>
      <c r="B137" s="11" t="s">
        <v>45</v>
      </c>
      <c r="C137" s="11" t="s">
        <v>46</v>
      </c>
      <c r="D137" s="11" t="s">
        <v>373</v>
      </c>
      <c r="E137" s="11" t="s">
        <v>24</v>
      </c>
      <c r="F137" s="12">
        <v>45038</v>
      </c>
      <c r="G137" s="12"/>
      <c r="H137" s="13">
        <v>423</v>
      </c>
      <c r="I137" s="11" t="s">
        <v>98</v>
      </c>
      <c r="J137" s="13">
        <v>4</v>
      </c>
      <c r="K137" s="11" t="s">
        <v>18</v>
      </c>
      <c r="L137" s="13"/>
    </row>
    <row r="138" spans="1:12" hidden="1" x14ac:dyDescent="0.3">
      <c r="A138" s="5" t="s">
        <v>211</v>
      </c>
      <c r="B138" s="6" t="s">
        <v>99</v>
      </c>
      <c r="C138" s="6" t="s">
        <v>138</v>
      </c>
      <c r="D138" s="6" t="s">
        <v>212</v>
      </c>
      <c r="E138" s="6" t="s">
        <v>34</v>
      </c>
      <c r="F138" s="7">
        <v>45058</v>
      </c>
      <c r="G138" s="7">
        <v>45437</v>
      </c>
      <c r="H138" s="8">
        <v>761</v>
      </c>
      <c r="I138" s="6" t="s">
        <v>68</v>
      </c>
      <c r="J138" s="8">
        <v>3</v>
      </c>
      <c r="K138" s="6" t="s">
        <v>35</v>
      </c>
      <c r="L138" s="8"/>
    </row>
    <row r="139" spans="1:12" hidden="1" x14ac:dyDescent="0.3">
      <c r="A139" s="10" t="s">
        <v>30</v>
      </c>
      <c r="B139" s="11" t="s">
        <v>31</v>
      </c>
      <c r="C139" s="11" t="s">
        <v>32</v>
      </c>
      <c r="D139" s="11" t="s">
        <v>33</v>
      </c>
      <c r="E139" s="11" t="s">
        <v>34</v>
      </c>
      <c r="F139" s="12">
        <v>45072</v>
      </c>
      <c r="G139" s="12">
        <v>45583</v>
      </c>
      <c r="H139" s="13">
        <v>870</v>
      </c>
      <c r="I139" s="11"/>
      <c r="J139" s="13">
        <v>3</v>
      </c>
      <c r="K139" s="11" t="s">
        <v>35</v>
      </c>
      <c r="L139" s="13"/>
    </row>
    <row r="140" spans="1:12" x14ac:dyDescent="0.3">
      <c r="A140" s="5" t="s">
        <v>357</v>
      </c>
      <c r="B140" s="6" t="s">
        <v>13</v>
      </c>
      <c r="C140" s="6" t="s">
        <v>160</v>
      </c>
      <c r="D140" s="6" t="s">
        <v>358</v>
      </c>
      <c r="E140" s="6" t="s">
        <v>24</v>
      </c>
      <c r="F140" s="7">
        <v>45078</v>
      </c>
      <c r="G140" s="7"/>
      <c r="H140" s="8">
        <v>1651</v>
      </c>
      <c r="I140" s="6" t="s">
        <v>237</v>
      </c>
      <c r="J140" s="8">
        <v>3</v>
      </c>
      <c r="K140" s="6" t="s">
        <v>18</v>
      </c>
      <c r="L140" s="8"/>
    </row>
    <row r="141" spans="1:12" x14ac:dyDescent="0.3">
      <c r="A141" s="5" t="s">
        <v>385</v>
      </c>
      <c r="B141" s="6" t="s">
        <v>31</v>
      </c>
      <c r="C141" s="6" t="s">
        <v>74</v>
      </c>
      <c r="D141" s="6" t="s">
        <v>386</v>
      </c>
      <c r="E141" s="6" t="s">
        <v>16</v>
      </c>
      <c r="F141" s="7">
        <v>45097</v>
      </c>
      <c r="G141" s="7"/>
      <c r="H141" s="8">
        <v>1124</v>
      </c>
      <c r="I141" s="6" t="s">
        <v>64</v>
      </c>
      <c r="J141" s="8">
        <v>3</v>
      </c>
      <c r="K141" s="6" t="s">
        <v>18</v>
      </c>
      <c r="L141" s="8"/>
    </row>
    <row r="142" spans="1:12" x14ac:dyDescent="0.3">
      <c r="A142" s="10" t="s">
        <v>305</v>
      </c>
      <c r="B142" s="11" t="s">
        <v>42</v>
      </c>
      <c r="C142" s="11" t="s">
        <v>83</v>
      </c>
      <c r="D142" s="11" t="s">
        <v>306</v>
      </c>
      <c r="E142" s="11" t="s">
        <v>24</v>
      </c>
      <c r="F142" s="12">
        <v>45109</v>
      </c>
      <c r="G142" s="12"/>
      <c r="H142" s="13">
        <v>1595</v>
      </c>
      <c r="I142" s="11" t="s">
        <v>37</v>
      </c>
      <c r="J142" s="13">
        <v>3</v>
      </c>
      <c r="K142" s="11" t="s">
        <v>18</v>
      </c>
      <c r="L142" s="13"/>
    </row>
    <row r="143" spans="1:12" x14ac:dyDescent="0.3">
      <c r="A143" s="10" t="s">
        <v>159</v>
      </c>
      <c r="B143" s="11" t="s">
        <v>13</v>
      </c>
      <c r="C143" s="11" t="s">
        <v>160</v>
      </c>
      <c r="D143" s="11" t="str">
        <f>_xlfn.CONCAT("employees.",  RIGHT('Terminated by gender'!$A57, 4), "@jogate.com")</f>
        <v>employees.1158@jogate.com</v>
      </c>
      <c r="E143" s="11" t="s">
        <v>24</v>
      </c>
      <c r="F143" s="12">
        <v>45110</v>
      </c>
      <c r="G143" s="12">
        <v>45298</v>
      </c>
      <c r="H143" s="13">
        <v>312</v>
      </c>
      <c r="I143" s="11" t="s">
        <v>79</v>
      </c>
      <c r="J143" s="13">
        <v>2</v>
      </c>
      <c r="K143" s="11" t="s">
        <v>35</v>
      </c>
      <c r="L143" s="13"/>
    </row>
    <row r="144" spans="1:12" x14ac:dyDescent="0.3">
      <c r="A144" s="5" t="s">
        <v>89</v>
      </c>
      <c r="B144" s="6" t="s">
        <v>27</v>
      </c>
      <c r="C144" s="6" t="s">
        <v>90</v>
      </c>
      <c r="D144" s="6" t="str">
        <f>_xlfn.CONCAT("employees.",  RIGHT('Terminated by gender'!$A26, 4), "@jogate.com")</f>
        <v>employees.1145@jogate.com</v>
      </c>
      <c r="E144" s="6" t="s">
        <v>16</v>
      </c>
      <c r="F144" s="7">
        <v>45159</v>
      </c>
      <c r="G144" s="7"/>
      <c r="H144" s="8">
        <v>746</v>
      </c>
      <c r="I144" s="6" t="s">
        <v>91</v>
      </c>
      <c r="J144" s="8">
        <v>4</v>
      </c>
      <c r="K144" s="6" t="s">
        <v>18</v>
      </c>
      <c r="L144" s="8"/>
    </row>
    <row r="145" spans="1:12" hidden="1" x14ac:dyDescent="0.3">
      <c r="A145" s="5" t="s">
        <v>314</v>
      </c>
      <c r="B145" s="6" t="s">
        <v>31</v>
      </c>
      <c r="C145" s="6" t="s">
        <v>74</v>
      </c>
      <c r="D145" s="6" t="s">
        <v>315</v>
      </c>
      <c r="E145" s="6" t="s">
        <v>34</v>
      </c>
      <c r="F145" s="7">
        <v>45162</v>
      </c>
      <c r="G145" s="7"/>
      <c r="H145" s="8">
        <v>1007</v>
      </c>
      <c r="I145" s="6" t="s">
        <v>94</v>
      </c>
      <c r="J145" s="8">
        <v>2</v>
      </c>
      <c r="K145" s="6" t="s">
        <v>18</v>
      </c>
      <c r="L145" s="8"/>
    </row>
    <row r="146" spans="1:12" hidden="1" x14ac:dyDescent="0.3">
      <c r="A146" s="5" t="s">
        <v>165</v>
      </c>
      <c r="B146" s="6" t="s">
        <v>21</v>
      </c>
      <c r="C146" s="6" t="s">
        <v>22</v>
      </c>
      <c r="D146" s="6" t="s">
        <v>166</v>
      </c>
      <c r="E146" s="6" t="s">
        <v>34</v>
      </c>
      <c r="F146" s="7">
        <v>45174</v>
      </c>
      <c r="G146" s="7"/>
      <c r="H146" s="8">
        <v>1827</v>
      </c>
      <c r="I146" s="6" t="s">
        <v>113</v>
      </c>
      <c r="J146" s="8">
        <v>5</v>
      </c>
      <c r="K146" s="6" t="s">
        <v>18</v>
      </c>
      <c r="L146" s="8"/>
    </row>
    <row r="147" spans="1:12" x14ac:dyDescent="0.3">
      <c r="A147" s="10" t="s">
        <v>39</v>
      </c>
      <c r="B147" s="11" t="s">
        <v>27</v>
      </c>
      <c r="C147" s="11" t="s">
        <v>28</v>
      </c>
      <c r="D147" s="11" t="str">
        <f>_xlfn.CONCAT("employees.",  RIGHT('Terminated by gender'!$A7, 4), "@jogate.com")</f>
        <v>employees.1095@jogate.com</v>
      </c>
      <c r="E147" s="11" t="s">
        <v>24</v>
      </c>
      <c r="F147" s="12">
        <v>45181</v>
      </c>
      <c r="G147" s="12"/>
      <c r="H147" s="13">
        <v>1711</v>
      </c>
      <c r="I147" s="11"/>
      <c r="J147" s="13">
        <v>2</v>
      </c>
      <c r="K147" s="11" t="s">
        <v>18</v>
      </c>
      <c r="L147" s="13"/>
    </row>
    <row r="148" spans="1:12" x14ac:dyDescent="0.3">
      <c r="A148" s="10" t="s">
        <v>281</v>
      </c>
      <c r="B148" s="11" t="s">
        <v>61</v>
      </c>
      <c r="C148" s="11" t="s">
        <v>78</v>
      </c>
      <c r="D148" s="11" t="s">
        <v>282</v>
      </c>
      <c r="E148" s="11" t="s">
        <v>16</v>
      </c>
      <c r="F148" s="12">
        <v>45193</v>
      </c>
      <c r="G148" s="12"/>
      <c r="H148" s="13">
        <v>1207</v>
      </c>
      <c r="I148" s="11" t="s">
        <v>79</v>
      </c>
      <c r="J148" s="13">
        <v>2</v>
      </c>
      <c r="K148" s="11" t="s">
        <v>18</v>
      </c>
      <c r="L148" s="13"/>
    </row>
    <row r="149" spans="1:12" x14ac:dyDescent="0.3">
      <c r="A149" s="10" t="s">
        <v>235</v>
      </c>
      <c r="B149" s="11" t="s">
        <v>61</v>
      </c>
      <c r="C149" s="11" t="s">
        <v>62</v>
      </c>
      <c r="D149" s="11" t="str">
        <f>_xlfn.CONCAT("employees.",  RIGHT('Terminated by gender'!$A103, 4), "@jogate.com")</f>
        <v>employees.1128@jogate.com</v>
      </c>
      <c r="E149" s="11" t="s">
        <v>16</v>
      </c>
      <c r="F149" s="12">
        <v>45198</v>
      </c>
      <c r="G149" s="12"/>
      <c r="H149" s="13">
        <v>502</v>
      </c>
      <c r="I149" s="11" t="s">
        <v>25</v>
      </c>
      <c r="J149" s="13">
        <v>2</v>
      </c>
      <c r="K149" s="11" t="s">
        <v>18</v>
      </c>
      <c r="L149" s="13"/>
    </row>
    <row r="150" spans="1:12" hidden="1" x14ac:dyDescent="0.3">
      <c r="A150" s="10" t="s">
        <v>225</v>
      </c>
      <c r="B150" s="11" t="s">
        <v>21</v>
      </c>
      <c r="C150" s="11" t="s">
        <v>154</v>
      </c>
      <c r="D150" s="11" t="s">
        <v>226</v>
      </c>
      <c r="E150" s="11" t="s">
        <v>34</v>
      </c>
      <c r="F150" s="12">
        <v>45212</v>
      </c>
      <c r="G150" s="12">
        <v>47092</v>
      </c>
      <c r="H150" s="13">
        <v>525</v>
      </c>
      <c r="I150" s="11" t="s">
        <v>128</v>
      </c>
      <c r="J150" s="13">
        <v>4</v>
      </c>
      <c r="K150" s="11" t="s">
        <v>35</v>
      </c>
      <c r="L150" s="13"/>
    </row>
    <row r="151" spans="1:12" hidden="1" x14ac:dyDescent="0.3">
      <c r="A151" s="10" t="s">
        <v>17</v>
      </c>
      <c r="B151" s="11" t="s">
        <v>42</v>
      </c>
      <c r="C151" s="11" t="s">
        <v>122</v>
      </c>
      <c r="D151" s="11" t="s">
        <v>398</v>
      </c>
      <c r="E151" s="11" t="s">
        <v>34</v>
      </c>
      <c r="F151" s="12">
        <v>45216</v>
      </c>
      <c r="G151" s="12"/>
      <c r="H151" s="13">
        <v>775</v>
      </c>
      <c r="I151" s="11"/>
      <c r="J151" s="13">
        <v>5</v>
      </c>
      <c r="K151" s="11" t="s">
        <v>18</v>
      </c>
      <c r="L151" s="13"/>
    </row>
    <row r="152" spans="1:12" hidden="1" x14ac:dyDescent="0.3">
      <c r="A152" s="5" t="s">
        <v>247</v>
      </c>
      <c r="B152" s="6" t="s">
        <v>61</v>
      </c>
      <c r="C152" s="6" t="s">
        <v>62</v>
      </c>
      <c r="D152" s="6" t="s">
        <v>248</v>
      </c>
      <c r="E152" s="6" t="s">
        <v>34</v>
      </c>
      <c r="F152" s="7">
        <v>45219</v>
      </c>
      <c r="G152" s="7"/>
      <c r="H152" s="8">
        <v>2077</v>
      </c>
      <c r="I152" s="6" t="s">
        <v>249</v>
      </c>
      <c r="J152" s="8">
        <v>4</v>
      </c>
      <c r="K152" s="6" t="s">
        <v>18</v>
      </c>
      <c r="L152" s="8"/>
    </row>
    <row r="153" spans="1:12" x14ac:dyDescent="0.3">
      <c r="A153" s="10" t="s">
        <v>57</v>
      </c>
      <c r="B153" s="11" t="s">
        <v>45</v>
      </c>
      <c r="C153" s="11" t="s">
        <v>58</v>
      </c>
      <c r="D153" s="11" t="str">
        <f>_xlfn.CONCAT("employees.",  RIGHT('Terminated by gender'!$A13, 4), "@jogate.com")</f>
        <v>employees.1130@jogate.com</v>
      </c>
      <c r="E153" s="11" t="s">
        <v>24</v>
      </c>
      <c r="F153" s="12">
        <v>45231</v>
      </c>
      <c r="G153" s="12">
        <v>47133</v>
      </c>
      <c r="H153" s="13">
        <v>1423</v>
      </c>
      <c r="I153" s="11" t="s">
        <v>59</v>
      </c>
      <c r="J153" s="13">
        <v>5</v>
      </c>
      <c r="K153" s="11" t="s">
        <v>35</v>
      </c>
      <c r="L153" s="13"/>
    </row>
    <row r="154" spans="1:12" x14ac:dyDescent="0.3">
      <c r="A154" s="10" t="s">
        <v>237</v>
      </c>
      <c r="B154" s="11" t="s">
        <v>99</v>
      </c>
      <c r="C154" s="11" t="s">
        <v>100</v>
      </c>
      <c r="D154" s="11" t="str">
        <f>_xlfn.CONCAT("employees.",  RIGHT('Terminated by gender'!$A105, 4), "@jogate.com")</f>
        <v>employees.1197@jogate.com</v>
      </c>
      <c r="E154" s="11" t="s">
        <v>16</v>
      </c>
      <c r="F154" s="12">
        <v>45236</v>
      </c>
      <c r="G154" s="12">
        <v>45783</v>
      </c>
      <c r="H154" s="13">
        <v>397</v>
      </c>
      <c r="I154" s="11"/>
      <c r="J154" s="13">
        <v>3</v>
      </c>
      <c r="K154" s="11" t="s">
        <v>35</v>
      </c>
      <c r="L154" s="13"/>
    </row>
    <row r="155" spans="1:12" hidden="1" x14ac:dyDescent="0.3">
      <c r="A155" s="10" t="s">
        <v>383</v>
      </c>
      <c r="B155" s="11" t="s">
        <v>27</v>
      </c>
      <c r="C155" s="11" t="s">
        <v>87</v>
      </c>
      <c r="D155" s="11" t="s">
        <v>384</v>
      </c>
      <c r="E155" s="11" t="s">
        <v>34</v>
      </c>
      <c r="F155" s="12">
        <v>45261</v>
      </c>
      <c r="G155" s="12"/>
      <c r="H155" s="13">
        <v>973</v>
      </c>
      <c r="I155" s="11" t="s">
        <v>128</v>
      </c>
      <c r="J155" s="13">
        <v>2</v>
      </c>
      <c r="K155" s="11" t="s">
        <v>18</v>
      </c>
      <c r="L155" s="13"/>
    </row>
    <row r="156" spans="1:12" x14ac:dyDescent="0.3">
      <c r="A156" s="10" t="s">
        <v>196</v>
      </c>
      <c r="B156" s="11" t="s">
        <v>21</v>
      </c>
      <c r="C156" s="11" t="s">
        <v>133</v>
      </c>
      <c r="D156" s="11" t="s">
        <v>197</v>
      </c>
      <c r="E156" s="11" t="s">
        <v>24</v>
      </c>
      <c r="F156" s="12">
        <v>45282</v>
      </c>
      <c r="G156" s="12"/>
      <c r="H156" s="13">
        <v>831</v>
      </c>
      <c r="I156" s="11" t="s">
        <v>107</v>
      </c>
      <c r="J156" s="13">
        <v>4</v>
      </c>
      <c r="K156" s="11" t="s">
        <v>18</v>
      </c>
      <c r="L156" s="13"/>
    </row>
    <row r="157" spans="1:12" hidden="1" x14ac:dyDescent="0.3">
      <c r="A157" s="5" t="s">
        <v>169</v>
      </c>
      <c r="B157" s="6" t="s">
        <v>13</v>
      </c>
      <c r="C157" s="6" t="s">
        <v>160</v>
      </c>
      <c r="D157" s="6" t="s">
        <v>170</v>
      </c>
      <c r="E157" s="6" t="s">
        <v>34</v>
      </c>
      <c r="F157" s="7">
        <v>45290</v>
      </c>
      <c r="G157" s="7"/>
      <c r="H157" s="8">
        <v>910</v>
      </c>
      <c r="I157" s="6" t="s">
        <v>171</v>
      </c>
      <c r="J157" s="8">
        <v>2</v>
      </c>
      <c r="K157" s="6" t="s">
        <v>18</v>
      </c>
      <c r="L157" s="8"/>
    </row>
    <row r="158" spans="1:12" x14ac:dyDescent="0.3">
      <c r="A158" s="5" t="s">
        <v>256</v>
      </c>
      <c r="B158" s="6" t="s">
        <v>45</v>
      </c>
      <c r="C158" s="6" t="s">
        <v>58</v>
      </c>
      <c r="D158" s="6" t="s">
        <v>257</v>
      </c>
      <c r="E158" s="6" t="s">
        <v>24</v>
      </c>
      <c r="F158" s="7">
        <v>45326</v>
      </c>
      <c r="G158" s="7"/>
      <c r="H158" s="8">
        <v>1522</v>
      </c>
      <c r="I158" s="6" t="s">
        <v>59</v>
      </c>
      <c r="J158" s="8">
        <v>5</v>
      </c>
      <c r="K158" s="6" t="s">
        <v>18</v>
      </c>
      <c r="L158" s="8"/>
    </row>
    <row r="159" spans="1:12" x14ac:dyDescent="0.3">
      <c r="A159" s="5" t="s">
        <v>173</v>
      </c>
      <c r="B159" s="6" t="s">
        <v>99</v>
      </c>
      <c r="C159" s="6" t="s">
        <v>138</v>
      </c>
      <c r="D159" s="6" t="s">
        <v>174</v>
      </c>
      <c r="E159" s="6" t="s">
        <v>24</v>
      </c>
      <c r="F159" s="7">
        <v>45336</v>
      </c>
      <c r="G159" s="7"/>
      <c r="H159" s="8">
        <v>956</v>
      </c>
      <c r="I159" s="6" t="s">
        <v>79</v>
      </c>
      <c r="J159" s="8">
        <v>3</v>
      </c>
      <c r="K159" s="6" t="s">
        <v>18</v>
      </c>
      <c r="L159" s="8"/>
    </row>
    <row r="160" spans="1:12" x14ac:dyDescent="0.3">
      <c r="A160" s="5" t="s">
        <v>76</v>
      </c>
      <c r="B160" s="6" t="s">
        <v>45</v>
      </c>
      <c r="C160" s="6" t="s">
        <v>97</v>
      </c>
      <c r="D160" s="6" t="str">
        <f>_xlfn.CONCAT("employees.",  RIGHT('Terminated by gender'!$A30, 4), "@jogate.com")</f>
        <v>employees.1136@jogate.com</v>
      </c>
      <c r="E160" s="6" t="s">
        <v>24</v>
      </c>
      <c r="F160" s="7">
        <v>45350</v>
      </c>
      <c r="G160" s="7"/>
      <c r="H160" s="8">
        <v>625</v>
      </c>
      <c r="I160" s="6"/>
      <c r="J160" s="8">
        <v>2</v>
      </c>
      <c r="K160" s="6" t="s">
        <v>18</v>
      </c>
      <c r="L160" s="8"/>
    </row>
    <row r="161" spans="1:12" x14ac:dyDescent="0.3">
      <c r="A161" s="5" t="s">
        <v>180</v>
      </c>
      <c r="B161" s="6" t="s">
        <v>31</v>
      </c>
      <c r="C161" s="6" t="s">
        <v>74</v>
      </c>
      <c r="D161" s="6" t="s">
        <v>181</v>
      </c>
      <c r="E161" s="6" t="s">
        <v>24</v>
      </c>
      <c r="F161" s="7">
        <v>45354</v>
      </c>
      <c r="G161" s="7"/>
      <c r="H161" s="8">
        <v>678</v>
      </c>
      <c r="I161" s="6" t="s">
        <v>91</v>
      </c>
      <c r="J161" s="8">
        <v>4</v>
      </c>
      <c r="K161" s="6" t="s">
        <v>18</v>
      </c>
      <c r="L161" s="8"/>
    </row>
    <row r="162" spans="1:12" x14ac:dyDescent="0.3">
      <c r="A162" s="10" t="s">
        <v>401</v>
      </c>
      <c r="B162" s="11" t="s">
        <v>31</v>
      </c>
      <c r="C162" s="11" t="s">
        <v>74</v>
      </c>
      <c r="D162" s="11" t="s">
        <v>402</v>
      </c>
      <c r="E162" s="11" t="s">
        <v>24</v>
      </c>
      <c r="F162" s="12">
        <v>45356</v>
      </c>
      <c r="G162" s="12"/>
      <c r="H162" s="13">
        <v>1658</v>
      </c>
      <c r="I162" s="11" t="s">
        <v>146</v>
      </c>
      <c r="J162" s="13">
        <v>3</v>
      </c>
      <c r="K162" s="11" t="s">
        <v>18</v>
      </c>
      <c r="L162" s="13"/>
    </row>
    <row r="163" spans="1:12" x14ac:dyDescent="0.3">
      <c r="A163" s="5" t="s">
        <v>283</v>
      </c>
      <c r="B163" s="6" t="s">
        <v>61</v>
      </c>
      <c r="C163" s="6" t="s">
        <v>78</v>
      </c>
      <c r="D163" s="6" t="s">
        <v>284</v>
      </c>
      <c r="E163" s="6" t="s">
        <v>24</v>
      </c>
      <c r="F163" s="7">
        <v>45368</v>
      </c>
      <c r="G163" s="7"/>
      <c r="H163" s="8">
        <v>1405</v>
      </c>
      <c r="I163" s="6" t="s">
        <v>12</v>
      </c>
      <c r="J163" s="8">
        <v>2</v>
      </c>
      <c r="K163" s="6" t="s">
        <v>18</v>
      </c>
      <c r="L163" s="8"/>
    </row>
    <row r="164" spans="1:12" x14ac:dyDescent="0.3">
      <c r="A164" s="10" t="s">
        <v>115</v>
      </c>
      <c r="B164" s="11" t="s">
        <v>31</v>
      </c>
      <c r="C164" s="11" t="s">
        <v>74</v>
      </c>
      <c r="D164" s="11" t="str">
        <f>_xlfn.CONCAT("employees.",  RIGHT('Terminated by gender'!$A37, 4), "@jogate.com")</f>
        <v>employees.1134@jogate.com</v>
      </c>
      <c r="E164" s="11" t="s">
        <v>24</v>
      </c>
      <c r="F164" s="12">
        <v>45371</v>
      </c>
      <c r="G164" s="12">
        <v>45843</v>
      </c>
      <c r="H164" s="13">
        <v>1411</v>
      </c>
      <c r="I164" s="11" t="s">
        <v>88</v>
      </c>
      <c r="J164" s="13">
        <v>2</v>
      </c>
      <c r="K164" s="11" t="s">
        <v>35</v>
      </c>
      <c r="L164" s="13"/>
    </row>
    <row r="165" spans="1:12" hidden="1" x14ac:dyDescent="0.3">
      <c r="A165" s="5" t="s">
        <v>80</v>
      </c>
      <c r="B165" s="6" t="s">
        <v>21</v>
      </c>
      <c r="C165" s="6" t="s">
        <v>22</v>
      </c>
      <c r="D165" s="6" t="str">
        <f>_xlfn.CONCAT("employees.",  RIGHT('Terminated by gender'!$A22, 4), "@jogate.com")</f>
        <v>employees.1135@jogate.com</v>
      </c>
      <c r="E165" s="6" t="s">
        <v>34</v>
      </c>
      <c r="F165" s="7">
        <v>45376</v>
      </c>
      <c r="G165" s="7"/>
      <c r="H165" s="8">
        <v>985</v>
      </c>
      <c r="I165" s="6" t="s">
        <v>81</v>
      </c>
      <c r="J165" s="8">
        <v>5</v>
      </c>
      <c r="K165" s="6" t="s">
        <v>18</v>
      </c>
      <c r="L165" s="8"/>
    </row>
    <row r="166" spans="1:12" x14ac:dyDescent="0.3">
      <c r="A166" s="10" t="s">
        <v>191</v>
      </c>
      <c r="B166" s="11" t="s">
        <v>27</v>
      </c>
      <c r="C166" s="11" t="s">
        <v>87</v>
      </c>
      <c r="D166" s="11" t="str">
        <f>_xlfn.CONCAT("employees.",  RIGHT('Terminated by gender'!$A77, 4), "@jogate.com")</f>
        <v>employees.1005@jogate.com</v>
      </c>
      <c r="E166" s="11" t="s">
        <v>24</v>
      </c>
      <c r="F166" s="12">
        <v>45386</v>
      </c>
      <c r="G166" s="12">
        <v>46992</v>
      </c>
      <c r="H166" s="13">
        <v>302</v>
      </c>
      <c r="I166" s="11" t="s">
        <v>12</v>
      </c>
      <c r="J166" s="13">
        <v>2</v>
      </c>
      <c r="K166" s="11" t="s">
        <v>35</v>
      </c>
      <c r="L166" s="13"/>
    </row>
    <row r="167" spans="1:12" x14ac:dyDescent="0.3">
      <c r="A167" s="10" t="s">
        <v>230</v>
      </c>
      <c r="B167" s="11" t="s">
        <v>13</v>
      </c>
      <c r="C167" s="11" t="s">
        <v>14</v>
      </c>
      <c r="D167" s="11" t="str">
        <f>_xlfn.CONCAT("employees.",  RIGHT('Terminated by gender'!$A109, 4), "@jogate.com")</f>
        <v>employees.1008@jogate.com</v>
      </c>
      <c r="E167" s="11" t="s">
        <v>24</v>
      </c>
      <c r="F167" s="12">
        <v>45399</v>
      </c>
      <c r="G167" s="12"/>
      <c r="H167" s="13">
        <v>735</v>
      </c>
      <c r="I167" s="11" t="s">
        <v>171</v>
      </c>
      <c r="J167" s="13">
        <v>3</v>
      </c>
      <c r="K167" s="11" t="s">
        <v>18</v>
      </c>
      <c r="L167" s="13"/>
    </row>
    <row r="168" spans="1:12" x14ac:dyDescent="0.3">
      <c r="A168" s="10" t="s">
        <v>49</v>
      </c>
      <c r="B168" s="11" t="s">
        <v>50</v>
      </c>
      <c r="C168" s="11" t="s">
        <v>51</v>
      </c>
      <c r="D168" s="11" t="s">
        <v>52</v>
      </c>
      <c r="E168" s="11" t="s">
        <v>24</v>
      </c>
      <c r="F168" s="12">
        <v>45411</v>
      </c>
      <c r="G168" s="12"/>
      <c r="H168" s="13">
        <v>1699</v>
      </c>
      <c r="I168" s="11" t="s">
        <v>53</v>
      </c>
      <c r="J168" s="13">
        <v>2</v>
      </c>
      <c r="K168" s="11" t="s">
        <v>18</v>
      </c>
      <c r="L168" s="13"/>
    </row>
    <row r="169" spans="1:12" x14ac:dyDescent="0.3">
      <c r="A169" s="5" t="s">
        <v>114</v>
      </c>
      <c r="B169" s="6" t="s">
        <v>42</v>
      </c>
      <c r="C169" s="6" t="s">
        <v>83</v>
      </c>
      <c r="D169" s="6" t="str">
        <f>_xlfn.CONCAT("employees.",  RIGHT('Terminated by gender'!$A36, 4), "@jogate.com")</f>
        <v>employees.1093@jogate.com</v>
      </c>
      <c r="E169" s="6" t="s">
        <v>24</v>
      </c>
      <c r="F169" s="7">
        <v>45417</v>
      </c>
      <c r="G169" s="7"/>
      <c r="H169" s="8">
        <v>404</v>
      </c>
      <c r="I169" s="6" t="s">
        <v>76</v>
      </c>
      <c r="J169" s="8">
        <v>2</v>
      </c>
      <c r="K169" s="6" t="s">
        <v>18</v>
      </c>
      <c r="L169" s="8"/>
    </row>
    <row r="170" spans="1:12" x14ac:dyDescent="0.3">
      <c r="A170" s="10" t="s">
        <v>111</v>
      </c>
      <c r="B170" s="11" t="s">
        <v>50</v>
      </c>
      <c r="C170" s="11" t="s">
        <v>70</v>
      </c>
      <c r="D170" s="11" t="s">
        <v>112</v>
      </c>
      <c r="E170" s="11" t="s">
        <v>24</v>
      </c>
      <c r="F170" s="12">
        <v>45421</v>
      </c>
      <c r="G170" s="12"/>
      <c r="H170" s="13">
        <v>1820</v>
      </c>
      <c r="I170" s="11" t="s">
        <v>113</v>
      </c>
      <c r="J170" s="13">
        <v>2</v>
      </c>
      <c r="K170" s="11" t="s">
        <v>18</v>
      </c>
      <c r="L170" s="13"/>
    </row>
    <row r="171" spans="1:12" x14ac:dyDescent="0.3">
      <c r="A171" s="5" t="s">
        <v>161</v>
      </c>
      <c r="B171" s="6" t="s">
        <v>21</v>
      </c>
      <c r="C171" s="6" t="s">
        <v>154</v>
      </c>
      <c r="D171" s="6" t="str">
        <f>_xlfn.CONCAT("employees.",  RIGHT('Terminated by gender'!$A58, 4), "@jogate.com")</f>
        <v>employees.1178@jogate.com</v>
      </c>
      <c r="E171" s="6" t="s">
        <v>24</v>
      </c>
      <c r="F171" s="7">
        <v>45437</v>
      </c>
      <c r="G171" s="7"/>
      <c r="H171" s="8">
        <v>523</v>
      </c>
      <c r="I171" s="6" t="s">
        <v>113</v>
      </c>
      <c r="J171" s="8">
        <v>3</v>
      </c>
      <c r="K171" s="6" t="s">
        <v>18</v>
      </c>
      <c r="L171" s="8"/>
    </row>
    <row r="172" spans="1:12" x14ac:dyDescent="0.3">
      <c r="A172" s="10" t="s">
        <v>130</v>
      </c>
      <c r="B172" s="11" t="s">
        <v>27</v>
      </c>
      <c r="C172" s="11" t="s">
        <v>28</v>
      </c>
      <c r="D172" s="11" t="s">
        <v>131</v>
      </c>
      <c r="E172" s="11" t="s">
        <v>24</v>
      </c>
      <c r="F172" s="12">
        <v>45454</v>
      </c>
      <c r="G172" s="12"/>
      <c r="H172" s="13">
        <v>1687</v>
      </c>
      <c r="I172" s="11"/>
      <c r="J172" s="13">
        <v>5</v>
      </c>
      <c r="K172" s="11" t="s">
        <v>18</v>
      </c>
      <c r="L172" s="13"/>
    </row>
    <row r="173" spans="1:12" x14ac:dyDescent="0.3">
      <c r="A173" s="5" t="s">
        <v>370</v>
      </c>
      <c r="B173" s="6" t="s">
        <v>27</v>
      </c>
      <c r="C173" s="6" t="s">
        <v>28</v>
      </c>
      <c r="D173" s="6" t="s">
        <v>371</v>
      </c>
      <c r="E173" s="6" t="s">
        <v>16</v>
      </c>
      <c r="F173" s="7">
        <v>45454</v>
      </c>
      <c r="G173" s="7"/>
      <c r="H173" s="8">
        <v>1867</v>
      </c>
      <c r="I173" s="6"/>
      <c r="J173" s="8">
        <v>5</v>
      </c>
      <c r="K173" s="6" t="s">
        <v>18</v>
      </c>
      <c r="L173" s="8"/>
    </row>
    <row r="174" spans="1:12" x14ac:dyDescent="0.3">
      <c r="A174" s="10" t="s">
        <v>228</v>
      </c>
      <c r="B174" s="11" t="s">
        <v>45</v>
      </c>
      <c r="C174" s="11" t="s">
        <v>46</v>
      </c>
      <c r="D174" s="11" t="s">
        <v>229</v>
      </c>
      <c r="E174" s="11" t="s">
        <v>24</v>
      </c>
      <c r="F174" s="12">
        <v>45463</v>
      </c>
      <c r="G174" s="12"/>
      <c r="H174" s="13">
        <v>506</v>
      </c>
      <c r="I174" s="11" t="s">
        <v>230</v>
      </c>
      <c r="J174" s="13">
        <v>2</v>
      </c>
      <c r="K174" s="11" t="s">
        <v>18</v>
      </c>
      <c r="L174" s="13"/>
    </row>
    <row r="175" spans="1:12" hidden="1" x14ac:dyDescent="0.3">
      <c r="A175" s="10" t="s">
        <v>164</v>
      </c>
      <c r="B175" s="11" t="s">
        <v>31</v>
      </c>
      <c r="C175" s="11" t="s">
        <v>32</v>
      </c>
      <c r="D175" s="11" t="str">
        <f>_xlfn.CONCAT("employees.",  RIGHT('Terminated by gender'!$A61, 4), "@jogate.com")</f>
        <v>employees.1089@jogate.com</v>
      </c>
      <c r="E175" s="11" t="s">
        <v>34</v>
      </c>
      <c r="F175" s="12">
        <v>45472</v>
      </c>
      <c r="G175" s="12"/>
      <c r="H175" s="13">
        <v>1182</v>
      </c>
      <c r="I175" s="11"/>
      <c r="J175" s="13">
        <v>3</v>
      </c>
      <c r="K175" s="11" t="s">
        <v>18</v>
      </c>
      <c r="L175" s="13"/>
    </row>
    <row r="176" spans="1:12" x14ac:dyDescent="0.3">
      <c r="A176" s="5" t="s">
        <v>94</v>
      </c>
      <c r="B176" s="6" t="s">
        <v>31</v>
      </c>
      <c r="C176" s="6" t="s">
        <v>32</v>
      </c>
      <c r="D176" s="6" t="str">
        <f>_xlfn.CONCAT("employees.",  RIGHT('Terminated by gender'!$A28, 4), "@jogate.com")</f>
        <v>employees.1020@jogate.com</v>
      </c>
      <c r="E176" s="6" t="s">
        <v>24</v>
      </c>
      <c r="F176" s="7">
        <v>45492</v>
      </c>
      <c r="G176" s="7">
        <v>47312</v>
      </c>
      <c r="H176" s="8">
        <v>1907</v>
      </c>
      <c r="I176" s="6"/>
      <c r="J176" s="8">
        <v>4</v>
      </c>
      <c r="K176" s="6" t="s">
        <v>35</v>
      </c>
      <c r="L176" s="8"/>
    </row>
    <row r="177" spans="1:12" hidden="1" x14ac:dyDescent="0.3">
      <c r="A177" s="5" t="s">
        <v>272</v>
      </c>
      <c r="B177" s="6" t="s">
        <v>61</v>
      </c>
      <c r="C177" s="6" t="s">
        <v>62</v>
      </c>
      <c r="D177" s="6" t="s">
        <v>273</v>
      </c>
      <c r="E177" s="6" t="s">
        <v>34</v>
      </c>
      <c r="F177" s="7">
        <v>45503</v>
      </c>
      <c r="G177" s="7"/>
      <c r="H177" s="8">
        <v>498</v>
      </c>
      <c r="I177" s="6" t="s">
        <v>17</v>
      </c>
      <c r="J177" s="8">
        <v>2</v>
      </c>
      <c r="K177" s="6" t="s">
        <v>18</v>
      </c>
      <c r="L177" s="8"/>
    </row>
    <row r="178" spans="1:12" x14ac:dyDescent="0.3">
      <c r="A178" s="10" t="s">
        <v>365</v>
      </c>
      <c r="B178" s="11" t="s">
        <v>42</v>
      </c>
      <c r="C178" s="11" t="s">
        <v>83</v>
      </c>
      <c r="D178" s="11" t="s">
        <v>366</v>
      </c>
      <c r="E178" s="11" t="s">
        <v>16</v>
      </c>
      <c r="F178" s="12">
        <v>45512</v>
      </c>
      <c r="G178" s="12"/>
      <c r="H178" s="13">
        <v>1056</v>
      </c>
      <c r="I178" s="11" t="s">
        <v>117</v>
      </c>
      <c r="J178" s="13">
        <v>2</v>
      </c>
      <c r="K178" s="11" t="s">
        <v>18</v>
      </c>
      <c r="L178" s="13"/>
    </row>
    <row r="179" spans="1:12" hidden="1" x14ac:dyDescent="0.3">
      <c r="A179" s="10" t="s">
        <v>186</v>
      </c>
      <c r="B179" s="11" t="s">
        <v>50</v>
      </c>
      <c r="C179" s="11" t="s">
        <v>51</v>
      </c>
      <c r="D179" s="11" t="s">
        <v>187</v>
      </c>
      <c r="E179" s="11" t="s">
        <v>34</v>
      </c>
      <c r="F179" s="12">
        <v>45515</v>
      </c>
      <c r="G179" s="12">
        <v>45785</v>
      </c>
      <c r="H179" s="13">
        <v>720</v>
      </c>
      <c r="I179" s="11" t="s">
        <v>98</v>
      </c>
      <c r="J179" s="13">
        <v>3</v>
      </c>
      <c r="K179" s="11" t="s">
        <v>35</v>
      </c>
      <c r="L179" s="13"/>
    </row>
    <row r="180" spans="1:12" x14ac:dyDescent="0.3">
      <c r="A180" s="5" t="s">
        <v>116</v>
      </c>
      <c r="B180" s="6" t="s">
        <v>27</v>
      </c>
      <c r="C180" s="6" t="s">
        <v>87</v>
      </c>
      <c r="D180" s="6" t="str">
        <f>_xlfn.CONCAT("employees.",  RIGHT('Terminated by gender'!$A38, 4), "@jogate.com")</f>
        <v>employees.1147@jogate.com</v>
      </c>
      <c r="E180" s="6" t="s">
        <v>16</v>
      </c>
      <c r="F180" s="7">
        <v>45549</v>
      </c>
      <c r="G180" s="7"/>
      <c r="H180" s="8">
        <v>1886</v>
      </c>
      <c r="I180" s="6" t="s">
        <v>17</v>
      </c>
      <c r="J180" s="8">
        <v>5</v>
      </c>
      <c r="K180" s="6" t="s">
        <v>18</v>
      </c>
      <c r="L180" s="8"/>
    </row>
    <row r="181" spans="1:12" x14ac:dyDescent="0.3">
      <c r="A181" s="5" t="s">
        <v>300</v>
      </c>
      <c r="B181" s="6" t="s">
        <v>27</v>
      </c>
      <c r="C181" s="6" t="s">
        <v>90</v>
      </c>
      <c r="D181" s="6" t="s">
        <v>301</v>
      </c>
      <c r="E181" s="6" t="s">
        <v>16</v>
      </c>
      <c r="F181" s="7">
        <v>45581</v>
      </c>
      <c r="G181" s="7"/>
      <c r="H181" s="8">
        <v>529</v>
      </c>
      <c r="I181" s="6" t="s">
        <v>64</v>
      </c>
      <c r="J181" s="8">
        <v>3</v>
      </c>
      <c r="K181" s="6" t="s">
        <v>18</v>
      </c>
      <c r="L181" s="8"/>
    </row>
    <row r="182" spans="1:12" hidden="1" x14ac:dyDescent="0.3">
      <c r="A182" s="5" t="s">
        <v>93</v>
      </c>
      <c r="B182" s="6" t="s">
        <v>45</v>
      </c>
      <c r="C182" s="6" t="s">
        <v>97</v>
      </c>
      <c r="D182" s="6" t="s">
        <v>227</v>
      </c>
      <c r="E182" s="6" t="s">
        <v>34</v>
      </c>
      <c r="F182" s="7">
        <v>45584</v>
      </c>
      <c r="G182" s="7"/>
      <c r="H182" s="8">
        <v>1787</v>
      </c>
      <c r="I182" s="6"/>
      <c r="J182" s="8">
        <v>5</v>
      </c>
      <c r="K182" s="6" t="s">
        <v>18</v>
      </c>
      <c r="L182" s="8"/>
    </row>
    <row r="183" spans="1:12" x14ac:dyDescent="0.3">
      <c r="A183" s="5" t="s">
        <v>236</v>
      </c>
      <c r="B183" s="6" t="s">
        <v>13</v>
      </c>
      <c r="C183" s="6" t="s">
        <v>14</v>
      </c>
      <c r="D183" s="6" t="str">
        <f>_xlfn.CONCAT("employees.",  RIGHT('Terminated by gender'!$A104, 4), "@jogate.com")</f>
        <v>employees.1091@jogate.com</v>
      </c>
      <c r="E183" s="6" t="s">
        <v>24</v>
      </c>
      <c r="F183" s="7">
        <v>45626</v>
      </c>
      <c r="G183" s="7"/>
      <c r="H183" s="8">
        <v>1711</v>
      </c>
      <c r="I183" s="6" t="s">
        <v>210</v>
      </c>
      <c r="J183" s="8">
        <v>5</v>
      </c>
      <c r="K183" s="6" t="s">
        <v>18</v>
      </c>
      <c r="L183" s="8"/>
    </row>
    <row r="184" spans="1:12" x14ac:dyDescent="0.3">
      <c r="A184" s="5" t="s">
        <v>190</v>
      </c>
      <c r="B184" s="6" t="s">
        <v>21</v>
      </c>
      <c r="C184" s="6" t="s">
        <v>22</v>
      </c>
      <c r="D184" s="6" t="str">
        <f>_xlfn.CONCAT("employees.",  RIGHT('Terminated by gender'!$A76, 4), "@jogate.com")</f>
        <v>employees.1165@jogate.com</v>
      </c>
      <c r="E184" s="6" t="s">
        <v>24</v>
      </c>
      <c r="F184" s="7">
        <v>45704</v>
      </c>
      <c r="G184" s="7"/>
      <c r="H184" s="8">
        <v>352</v>
      </c>
      <c r="I184" s="6" t="s">
        <v>17</v>
      </c>
      <c r="J184" s="8">
        <v>3</v>
      </c>
      <c r="K184" s="6" t="s">
        <v>18</v>
      </c>
      <c r="L184" s="8"/>
    </row>
    <row r="185" spans="1:12" hidden="1" x14ac:dyDescent="0.3">
      <c r="A185" s="10" t="s">
        <v>379</v>
      </c>
      <c r="B185" s="11" t="s">
        <v>13</v>
      </c>
      <c r="C185" s="11" t="s">
        <v>264</v>
      </c>
      <c r="D185" s="11" t="s">
        <v>380</v>
      </c>
      <c r="E185" s="11" t="s">
        <v>34</v>
      </c>
      <c r="F185" s="12">
        <v>45731</v>
      </c>
      <c r="G185" s="12"/>
      <c r="H185" s="13">
        <v>1471</v>
      </c>
      <c r="I185" s="11" t="s">
        <v>146</v>
      </c>
      <c r="J185" s="13">
        <v>5</v>
      </c>
      <c r="K185" s="11" t="s">
        <v>18</v>
      </c>
      <c r="L185" s="13"/>
    </row>
    <row r="186" spans="1:12" x14ac:dyDescent="0.3">
      <c r="A186" s="5" t="s">
        <v>158</v>
      </c>
      <c r="B186" s="6" t="s">
        <v>45</v>
      </c>
      <c r="C186" s="6" t="s">
        <v>46</v>
      </c>
      <c r="D186" s="6" t="str">
        <f>_xlfn.CONCAT("employees.",  RIGHT('Terminated by gender'!$A56, 4), "@jogate.com")</f>
        <v>employees.1088@jogate.com</v>
      </c>
      <c r="E186" s="6" t="s">
        <v>24</v>
      </c>
      <c r="F186" s="7">
        <v>45750</v>
      </c>
      <c r="G186" s="7"/>
      <c r="H186" s="8">
        <v>915</v>
      </c>
      <c r="I186" s="6" t="s">
        <v>79</v>
      </c>
      <c r="J186" s="8">
        <v>5</v>
      </c>
      <c r="K186" s="6" t="s">
        <v>18</v>
      </c>
      <c r="L186" s="8"/>
    </row>
    <row r="187" spans="1:12" x14ac:dyDescent="0.3">
      <c r="A187" s="10" t="s">
        <v>88</v>
      </c>
      <c r="B187" s="11" t="s">
        <v>13</v>
      </c>
      <c r="C187" s="11" t="s">
        <v>14</v>
      </c>
      <c r="D187" s="11" t="s">
        <v>258</v>
      </c>
      <c r="E187" s="11" t="s">
        <v>16</v>
      </c>
      <c r="F187" s="12">
        <v>45751</v>
      </c>
      <c r="G187" s="12"/>
      <c r="H187" s="13">
        <v>1919</v>
      </c>
      <c r="I187" s="11" t="s">
        <v>79</v>
      </c>
      <c r="J187" s="13">
        <v>3</v>
      </c>
      <c r="K187" s="11" t="s">
        <v>18</v>
      </c>
      <c r="L187" s="13"/>
    </row>
    <row r="188" spans="1:12" x14ac:dyDescent="0.3">
      <c r="A188" s="5" t="s">
        <v>148</v>
      </c>
      <c r="B188" s="6" t="s">
        <v>61</v>
      </c>
      <c r="C188" s="6" t="s">
        <v>62</v>
      </c>
      <c r="D188" s="6" t="s">
        <v>149</v>
      </c>
      <c r="E188" s="6" t="s">
        <v>16</v>
      </c>
      <c r="F188" s="7">
        <v>45754</v>
      </c>
      <c r="G188" s="7"/>
      <c r="H188" s="8">
        <v>1192</v>
      </c>
      <c r="I188" s="6" t="s">
        <v>150</v>
      </c>
      <c r="J188" s="8">
        <v>4</v>
      </c>
      <c r="K188" s="6" t="s">
        <v>18</v>
      </c>
      <c r="L188" s="8"/>
    </row>
    <row r="189" spans="1:12" hidden="1" x14ac:dyDescent="0.3">
      <c r="A189" s="10" t="s">
        <v>121</v>
      </c>
      <c r="B189" s="11" t="s">
        <v>42</v>
      </c>
      <c r="C189" s="11" t="s">
        <v>122</v>
      </c>
      <c r="D189" s="11" t="s">
        <v>123</v>
      </c>
      <c r="E189" s="11" t="s">
        <v>34</v>
      </c>
      <c r="F189" s="12">
        <v>45767</v>
      </c>
      <c r="G189" s="12"/>
      <c r="H189" s="13">
        <v>1144</v>
      </c>
      <c r="I189" s="11"/>
      <c r="J189" s="13">
        <v>3</v>
      </c>
      <c r="K189" s="11" t="s">
        <v>18</v>
      </c>
      <c r="L189" s="13"/>
    </row>
    <row r="190" spans="1:12" x14ac:dyDescent="0.3">
      <c r="A190" s="5" t="s">
        <v>60</v>
      </c>
      <c r="B190" s="6" t="s">
        <v>61</v>
      </c>
      <c r="C190" s="6" t="s">
        <v>62</v>
      </c>
      <c r="D190" s="6" t="s">
        <v>63</v>
      </c>
      <c r="E190" s="6" t="s">
        <v>24</v>
      </c>
      <c r="F190" s="7">
        <v>45770</v>
      </c>
      <c r="G190" s="7"/>
      <c r="H190" s="8">
        <v>1524</v>
      </c>
      <c r="I190" s="6" t="s">
        <v>64</v>
      </c>
      <c r="J190" s="8">
        <v>3</v>
      </c>
      <c r="K190" s="6" t="s">
        <v>18</v>
      </c>
      <c r="L190" s="8"/>
    </row>
    <row r="191" spans="1:12" hidden="1" x14ac:dyDescent="0.3">
      <c r="A191" s="5" t="s">
        <v>238</v>
      </c>
      <c r="B191" s="6" t="s">
        <v>61</v>
      </c>
      <c r="C191" s="6" t="s">
        <v>78</v>
      </c>
      <c r="D191" s="6" t="str">
        <f>_xlfn.CONCAT("employees.",  RIGHT('Terminated by gender'!$A106, 4), "@jogate.com")</f>
        <v>employees.1118@jogate.com</v>
      </c>
      <c r="E191" s="6" t="s">
        <v>34</v>
      </c>
      <c r="F191" s="7">
        <v>45771</v>
      </c>
      <c r="G191" s="7"/>
      <c r="H191" s="8">
        <v>1985</v>
      </c>
      <c r="I191" s="6" t="s">
        <v>96</v>
      </c>
      <c r="J191" s="8">
        <v>3</v>
      </c>
      <c r="K191" s="6" t="s">
        <v>18</v>
      </c>
      <c r="L191" s="8"/>
    </row>
    <row r="192" spans="1:12" x14ac:dyDescent="0.3">
      <c r="A192" s="10" t="s">
        <v>216</v>
      </c>
      <c r="B192" s="11" t="s">
        <v>45</v>
      </c>
      <c r="C192" s="11" t="s">
        <v>58</v>
      </c>
      <c r="D192" s="11" t="s">
        <v>217</v>
      </c>
      <c r="E192" s="11" t="s">
        <v>24</v>
      </c>
      <c r="F192" s="12">
        <v>45773</v>
      </c>
      <c r="G192" s="12">
        <v>46809</v>
      </c>
      <c r="H192" s="13">
        <v>1097</v>
      </c>
      <c r="I192" s="11" t="s">
        <v>88</v>
      </c>
      <c r="J192" s="13">
        <v>2</v>
      </c>
      <c r="K192" s="11" t="s">
        <v>35</v>
      </c>
      <c r="L192" s="13"/>
    </row>
    <row r="193" spans="1:12" x14ac:dyDescent="0.3">
      <c r="A193" s="5" t="s">
        <v>143</v>
      </c>
      <c r="B193" s="6" t="s">
        <v>31</v>
      </c>
      <c r="C193" s="6" t="s">
        <v>74</v>
      </c>
      <c r="D193" s="6" t="s">
        <v>144</v>
      </c>
      <c r="E193" s="6" t="s">
        <v>24</v>
      </c>
      <c r="F193" s="7">
        <v>45785</v>
      </c>
      <c r="G193" s="7"/>
      <c r="H193" s="8">
        <v>1798</v>
      </c>
      <c r="I193" s="6" t="s">
        <v>145</v>
      </c>
      <c r="J193" s="8">
        <v>2</v>
      </c>
      <c r="K193" s="6" t="s">
        <v>18</v>
      </c>
      <c r="L193" s="8"/>
    </row>
    <row r="194" spans="1:12" x14ac:dyDescent="0.3">
      <c r="A194" s="5" t="s">
        <v>259</v>
      </c>
      <c r="B194" s="6" t="s">
        <v>21</v>
      </c>
      <c r="C194" s="6" t="s">
        <v>22</v>
      </c>
      <c r="D194" s="6" t="s">
        <v>260</v>
      </c>
      <c r="E194" s="6" t="s">
        <v>24</v>
      </c>
      <c r="F194" s="7">
        <v>45805</v>
      </c>
      <c r="G194" s="7"/>
      <c r="H194" s="8">
        <v>1677</v>
      </c>
      <c r="I194" s="6" t="s">
        <v>141</v>
      </c>
      <c r="J194" s="8">
        <v>4</v>
      </c>
      <c r="K194" s="6" t="s">
        <v>18</v>
      </c>
      <c r="L194" s="8"/>
    </row>
    <row r="195" spans="1:12" hidden="1" x14ac:dyDescent="0.3">
      <c r="A195" s="10" t="s">
        <v>208</v>
      </c>
      <c r="B195" s="11" t="s">
        <v>61</v>
      </c>
      <c r="C195" s="11" t="s">
        <v>62</v>
      </c>
      <c r="D195" s="11" t="s">
        <v>209</v>
      </c>
      <c r="E195" s="11" t="s">
        <v>34</v>
      </c>
      <c r="F195" s="12">
        <v>45831</v>
      </c>
      <c r="G195" s="12"/>
      <c r="H195" s="13">
        <v>1699</v>
      </c>
      <c r="I195" s="11" t="s">
        <v>210</v>
      </c>
      <c r="J195" s="13">
        <v>2</v>
      </c>
      <c r="K195" s="11" t="s">
        <v>18</v>
      </c>
      <c r="L195" s="13"/>
    </row>
    <row r="196" spans="1:12" hidden="1" x14ac:dyDescent="0.3">
      <c r="A196" s="5" t="s">
        <v>156</v>
      </c>
      <c r="B196" s="6" t="s">
        <v>45</v>
      </c>
      <c r="C196" s="6" t="s">
        <v>97</v>
      </c>
      <c r="D196" s="6" t="s">
        <v>276</v>
      </c>
      <c r="E196" s="6" t="s">
        <v>34</v>
      </c>
      <c r="F196" s="7">
        <v>45870</v>
      </c>
      <c r="G196" s="7"/>
      <c r="H196" s="8">
        <v>1570</v>
      </c>
      <c r="I196" s="6"/>
      <c r="J196" s="8">
        <v>5</v>
      </c>
      <c r="K196" s="6" t="s">
        <v>18</v>
      </c>
      <c r="L196" s="8"/>
    </row>
    <row r="197" spans="1:12" hidden="1" x14ac:dyDescent="0.3">
      <c r="A197" s="5" t="s">
        <v>163</v>
      </c>
      <c r="B197" s="6" t="s">
        <v>21</v>
      </c>
      <c r="C197" s="6" t="s">
        <v>154</v>
      </c>
      <c r="D197" s="6" t="str">
        <f>_xlfn.CONCAT("employees.",  RIGHT('Terminated by gender'!$A60, 4), "@jogate.com")</f>
        <v>employees.1112@jogate.com</v>
      </c>
      <c r="E197" s="6" t="s">
        <v>34</v>
      </c>
      <c r="F197" s="7">
        <v>45871</v>
      </c>
      <c r="G197" s="7"/>
      <c r="H197" s="8">
        <v>2027</v>
      </c>
      <c r="I197" s="6" t="s">
        <v>84</v>
      </c>
      <c r="J197" s="8">
        <v>5</v>
      </c>
      <c r="K197" s="6" t="s">
        <v>18</v>
      </c>
      <c r="L197" s="8"/>
    </row>
    <row r="198" spans="1:12" hidden="1" x14ac:dyDescent="0.3">
      <c r="A198" s="10" t="s">
        <v>92</v>
      </c>
      <c r="B198" s="11" t="s">
        <v>21</v>
      </c>
      <c r="C198" s="11" t="s">
        <v>22</v>
      </c>
      <c r="D198" s="11" t="str">
        <f>_xlfn.CONCAT("employees.",  RIGHT('Terminated by gender'!$A27, 4), "@jogate.com")</f>
        <v>employees.1092@jogate.com</v>
      </c>
      <c r="E198" s="11" t="s">
        <v>34</v>
      </c>
      <c r="F198" s="12">
        <v>45912</v>
      </c>
      <c r="G198" s="12"/>
      <c r="H198" s="13">
        <v>1456</v>
      </c>
      <c r="I198" s="11" t="s">
        <v>93</v>
      </c>
      <c r="J198" s="13">
        <v>4</v>
      </c>
      <c r="K198" s="11" t="s">
        <v>18</v>
      </c>
      <c r="L198" s="13"/>
    </row>
    <row r="199" spans="1:12" hidden="1" x14ac:dyDescent="0.3">
      <c r="A199" s="5" t="s">
        <v>184</v>
      </c>
      <c r="B199" s="6" t="s">
        <v>21</v>
      </c>
      <c r="C199" s="6" t="s">
        <v>22</v>
      </c>
      <c r="D199" s="6" t="s">
        <v>185</v>
      </c>
      <c r="E199" s="6" t="s">
        <v>34</v>
      </c>
      <c r="F199" s="7">
        <v>45940</v>
      </c>
      <c r="G199" s="7">
        <v>47501</v>
      </c>
      <c r="H199" s="8">
        <v>593</v>
      </c>
      <c r="I199" s="6" t="s">
        <v>84</v>
      </c>
      <c r="J199" s="8">
        <v>2</v>
      </c>
      <c r="K199" s="6" t="s">
        <v>35</v>
      </c>
      <c r="L199" s="8"/>
    </row>
    <row r="200" spans="1:12" hidden="1" x14ac:dyDescent="0.3">
      <c r="A200" s="10" t="s">
        <v>266</v>
      </c>
      <c r="B200" s="11" t="s">
        <v>61</v>
      </c>
      <c r="C200" s="11" t="s">
        <v>62</v>
      </c>
      <c r="D200" s="11" t="s">
        <v>267</v>
      </c>
      <c r="E200" s="11" t="s">
        <v>34</v>
      </c>
      <c r="F200" s="12">
        <v>45943</v>
      </c>
      <c r="G200" s="12"/>
      <c r="H200" s="13">
        <v>1350</v>
      </c>
      <c r="I200" s="11" t="s">
        <v>237</v>
      </c>
      <c r="J200" s="13">
        <v>3</v>
      </c>
      <c r="K200" s="11" t="s">
        <v>18</v>
      </c>
      <c r="L200" s="13"/>
    </row>
    <row r="201" spans="1:12" ht="15" thickBot="1" x14ac:dyDescent="0.35">
      <c r="A201" s="5" t="s">
        <v>363</v>
      </c>
      <c r="B201" s="6" t="s">
        <v>27</v>
      </c>
      <c r="C201" s="6" t="s">
        <v>87</v>
      </c>
      <c r="D201" s="6" t="s">
        <v>364</v>
      </c>
      <c r="E201" s="6" t="s">
        <v>16</v>
      </c>
      <c r="F201" s="7">
        <v>45946</v>
      </c>
      <c r="G201" s="7"/>
      <c r="H201" s="8">
        <v>1153</v>
      </c>
      <c r="I201" s="6" t="s">
        <v>94</v>
      </c>
      <c r="J201" s="8">
        <v>4</v>
      </c>
      <c r="K201" s="6" t="s">
        <v>18</v>
      </c>
      <c r="L201" s="8"/>
    </row>
    <row r="202" spans="1:12" ht="15" thickTop="1" x14ac:dyDescent="0.3">
      <c r="A202" s="15"/>
      <c r="B202" s="16"/>
      <c r="C202" s="16"/>
      <c r="D202" s="16"/>
      <c r="E202" s="16"/>
      <c r="F202" s="17"/>
      <c r="G202" s="17"/>
      <c r="H202" s="2"/>
      <c r="I202" s="16"/>
      <c r="J202" s="2"/>
      <c r="K202" s="16"/>
      <c r="L202" s="2"/>
    </row>
  </sheetData>
  <autoFilter ref="A1:L201" xr:uid="{5DF3B1B0-615D-4DA6-AE41-448F4D696987}">
    <filterColumn colId="4">
      <filters>
        <filter val="Female"/>
        <filter val="Male"/>
      </filters>
    </filterColumn>
    <sortState xmlns:xlrd2="http://schemas.microsoft.com/office/spreadsheetml/2017/richdata2" ref="A2:L201">
      <sortCondition ref="F1:F201"/>
    </sortState>
  </autoFilter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1E3DAA-B527-44F9-A3D4-D5BB3C47FD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employees</vt:lpstr>
      <vt:lpstr>Average salary</vt:lpstr>
      <vt:lpstr>Turnover by department</vt:lpstr>
      <vt:lpstr>Terminated by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Soufan</dc:creator>
  <cp:lastModifiedBy>Abdullah Soufan</cp:lastModifiedBy>
  <dcterms:created xsi:type="dcterms:W3CDTF">2026-04-23T09:31:26Z</dcterms:created>
  <dcterms:modified xsi:type="dcterms:W3CDTF">2026-04-23T12:21:36Z</dcterms:modified>
</cp:coreProperties>
</file>